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velazione" sheetId="1" r:id="rId5"/>
    <sheet state="visible" name="assorbimento" sheetId="2" r:id="rId6"/>
    <sheet state="visible" name="spettro" sheetId="3" r:id="rId7"/>
  </sheets>
  <definedNames/>
  <calcPr/>
</workbook>
</file>

<file path=xl/sharedStrings.xml><?xml version="1.0" encoding="utf-8"?>
<sst xmlns="http://schemas.openxmlformats.org/spreadsheetml/2006/main" count="113" uniqueCount="43">
  <si>
    <t>ALLUMINIO</t>
  </si>
  <si>
    <t>soglia (mV)</t>
  </si>
  <si>
    <t>HV (V)</t>
  </si>
  <si>
    <t>tempo di acquisizione (s)</t>
  </si>
  <si>
    <t>V (mV)</t>
  </si>
  <si>
    <t>I (muA)</t>
  </si>
  <si>
    <t>conteggi (#)</t>
  </si>
  <si>
    <t>CPS (#/s)</t>
  </si>
  <si>
    <t>spessore (mm)</t>
  </si>
  <si>
    <t>ln(CPS)</t>
  </si>
  <si>
    <t>PIOMBO</t>
  </si>
  <si>
    <t>fattore di conversione R</t>
  </si>
  <si>
    <t>V/muA</t>
  </si>
  <si>
    <t>VGM(V)</t>
  </si>
  <si>
    <t>Vsoglia (mV)</t>
  </si>
  <si>
    <t>±</t>
  </si>
  <si>
    <t>V (V)</t>
  </si>
  <si>
    <t>(oscilla di 0,3 mV)</t>
  </si>
  <si>
    <t>errore HV</t>
  </si>
  <si>
    <t>errore cont</t>
  </si>
  <si>
    <t>errore cps</t>
  </si>
  <si>
    <t>angoli 2θ a cui ci aspettiamo i picchi</t>
  </si>
  <si>
    <t>2d (m)</t>
  </si>
  <si>
    <t>lambda (m)</t>
  </si>
  <si>
    <t>picco 1</t>
  </si>
  <si>
    <t>K alpha</t>
  </si>
  <si>
    <t>NaCl</t>
  </si>
  <si>
    <t>2θ</t>
  </si>
  <si>
    <t>picco 2</t>
  </si>
  <si>
    <t>K beta</t>
  </si>
  <si>
    <t>picco</t>
  </si>
  <si>
    <t>θ</t>
  </si>
  <si>
    <t>sin(theta)</t>
  </si>
  <si>
    <t>err 2d (m)</t>
  </si>
  <si>
    <t>n</t>
  </si>
  <si>
    <t>err lambda</t>
  </si>
  <si>
    <t>energia</t>
  </si>
  <si>
    <t>beta</t>
  </si>
  <si>
    <t>alfa</t>
  </si>
  <si>
    <t>Filtro di nichel</t>
  </si>
  <si>
    <t>KCl</t>
  </si>
  <si>
    <t>RbCl</t>
  </si>
  <si>
    <t>LiF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</si>
</sst>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Courier New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2" xfId="0" applyFont="1" applyNumberFormat="1"/>
    <xf borderId="0" fillId="0" fontId="1" numFmtId="2" xfId="0" applyAlignment="1" applyFont="1" applyNumberFormat="1">
      <alignment readingOrder="0"/>
    </xf>
    <xf borderId="0" fillId="0" fontId="1" numFmtId="164" xfId="0" applyFont="1" applyNumberFormat="1"/>
    <xf borderId="0" fillId="0" fontId="1" numFmtId="11" xfId="0" applyAlignment="1" applyFont="1" applyNumberFormat="1">
      <alignment readingOrder="0"/>
    </xf>
    <xf borderId="0" fillId="0" fontId="1" numFmtId="11" xfId="0" applyFont="1" applyNumberFormat="1"/>
    <xf borderId="0" fillId="2" fontId="2" numFmtId="0" xfId="0" applyAlignment="1" applyFill="1" applyFont="1">
      <alignment horizontal="left" readingOrder="0" shrinkToFit="0" wrapText="1"/>
    </xf>
    <xf borderId="0" fillId="0" fontId="1" numFmtId="1" xfId="0" applyFont="1" applyNumberFormat="1"/>
    <xf borderId="0" fillId="0" fontId="1" numFmtId="165" xfId="0" applyFont="1" applyNumberFormat="1"/>
    <xf borderId="0" fillId="0" fontId="1" numFmtId="165" xfId="0" applyAlignment="1" applyFont="1" applyNumberFormat="1">
      <alignment readingOrder="0"/>
    </xf>
    <xf borderId="0" fillId="3" fontId="1" numFmtId="0" xfId="0" applyAlignment="1" applyFill="1" applyFont="1">
      <alignment readingOrder="0"/>
    </xf>
    <xf borderId="0" fillId="0" fontId="1" numFmtId="1" xfId="0" applyAlignment="1" applyFont="1" applyNumberFormat="1">
      <alignment readingOrder="0"/>
    </xf>
    <xf borderId="0" fillId="3" fontId="1" numFmtId="2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rivelazione!$A$13:$A$40</c:f>
            </c:numRef>
          </c:xVal>
          <c:yVal>
            <c:numRef>
              <c:f>rivelazione!$C$13:$C$51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17245967"/>
        <c:axId val="153269402"/>
      </c:scatterChart>
      <c:valAx>
        <c:axId val="121724596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269402"/>
      </c:valAx>
      <c:valAx>
        <c:axId val="15326940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724596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rivelazione!$B$49:$B$84</c:f>
            </c:numRef>
          </c:xVal>
          <c:yVal>
            <c:numRef>
              <c:f>rivelazione!$D$49:$D$84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614534"/>
        <c:axId val="870674670"/>
      </c:scatterChart>
      <c:valAx>
        <c:axId val="14861453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0674670"/>
      </c:valAx>
      <c:valAx>
        <c:axId val="8706746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6145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assorbimento!$A$7:$A$24</c:f>
            </c:numRef>
          </c:xVal>
          <c:yVal>
            <c:numRef>
              <c:f>assorbimento!$E$7:$E$24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5408884"/>
        <c:axId val="236182639"/>
      </c:scatterChart>
      <c:valAx>
        <c:axId val="134540888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6182639"/>
      </c:valAx>
      <c:valAx>
        <c:axId val="23618263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540888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spettro!$A$6:$A$60</c:f>
            </c:numRef>
          </c:xVal>
          <c:yVal>
            <c:numRef>
              <c:f>spettro!$C$6:$C$60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3608504"/>
        <c:axId val="618639779"/>
      </c:scatterChart>
      <c:valAx>
        <c:axId val="168360850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8639779"/>
      </c:valAx>
      <c:valAx>
        <c:axId val="6186397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360850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spettro!$A$66:$A$102</c:f>
            </c:numRef>
          </c:xVal>
          <c:yVal>
            <c:numRef>
              <c:f>spettro!$C$66:$C$102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79298"/>
        <c:axId val="2046686900"/>
      </c:scatterChart>
      <c:valAx>
        <c:axId val="5527929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46686900"/>
      </c:valAx>
      <c:valAx>
        <c:axId val="20466869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2792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spettro!$C$108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spettro!$A$109:$A$125</c:f>
            </c:numRef>
          </c:xVal>
          <c:yVal>
            <c:numRef>
              <c:f>spettro!$C$109:$C$125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3920717"/>
        <c:axId val="640207111"/>
      </c:scatterChart>
      <c:valAx>
        <c:axId val="177392071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0207111"/>
      </c:valAx>
      <c:valAx>
        <c:axId val="6402071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39207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spettro!$A$131:$A$150</c:f>
            </c:numRef>
          </c:xVal>
          <c:yVal>
            <c:numRef>
              <c:f>spettro!$C$131:$C$150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9448194"/>
        <c:axId val="184804624"/>
      </c:scatterChart>
      <c:valAx>
        <c:axId val="132944819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4804624"/>
      </c:valAx>
      <c:valAx>
        <c:axId val="1848046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294481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spettro!$A$155:$A$174</c:f>
            </c:numRef>
          </c:xVal>
          <c:yVal>
            <c:numRef>
              <c:f>spettro!$C$155:$C$174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14231"/>
        <c:axId val="743161177"/>
      </c:scatterChart>
      <c:valAx>
        <c:axId val="971423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3161177"/>
      </c:valAx>
      <c:valAx>
        <c:axId val="74316117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1423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Relationship Id="rId5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933450</xdr:colOff>
      <xdr:row>11</xdr:row>
      <xdr:rowOff>171450</xdr:rowOff>
    </xdr:from>
    <xdr:ext cx="6696075" cy="4143375"/>
    <xdr:graphicFrame>
      <xdr:nvGraphicFramePr>
        <xdr:cNvPr id="2" name="Chart 2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942975</xdr:colOff>
      <xdr:row>46</xdr:row>
      <xdr:rowOff>180975</xdr:rowOff>
    </xdr:from>
    <xdr:ext cx="7696200" cy="4752975"/>
    <xdr:graphicFrame>
      <xdr:nvGraphicFramePr>
        <xdr:cNvPr id="5" name="Chart 5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962025</xdr:colOff>
      <xdr:row>5</xdr:row>
      <xdr:rowOff>152400</xdr:rowOff>
    </xdr:from>
    <xdr:ext cx="5715000" cy="3533775"/>
    <xdr:graphicFrame>
      <xdr:nvGraphicFramePr>
        <xdr:cNvPr id="1" name="Chart 1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962025</xdr:colOff>
      <xdr:row>6</xdr:row>
      <xdr:rowOff>180975</xdr:rowOff>
    </xdr:from>
    <xdr:ext cx="9210675" cy="5705475"/>
    <xdr:graphicFrame>
      <xdr:nvGraphicFramePr>
        <xdr:cNvPr id="3" name="Chart 3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962025</xdr:colOff>
      <xdr:row>63</xdr:row>
      <xdr:rowOff>190500</xdr:rowOff>
    </xdr:from>
    <xdr:ext cx="7696200" cy="4752975"/>
    <xdr:graphicFrame>
      <xdr:nvGraphicFramePr>
        <xdr:cNvPr id="4" name="Chart 4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</xdr:col>
      <xdr:colOff>962025</xdr:colOff>
      <xdr:row>107</xdr:row>
      <xdr:rowOff>190500</xdr:rowOff>
    </xdr:from>
    <xdr:ext cx="5715000" cy="3533775"/>
    <xdr:graphicFrame>
      <xdr:nvGraphicFramePr>
        <xdr:cNvPr id="6" name="Chart 6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962025</xdr:colOff>
      <xdr:row>128</xdr:row>
      <xdr:rowOff>171450</xdr:rowOff>
    </xdr:from>
    <xdr:ext cx="5715000" cy="3533775"/>
    <xdr:graphicFrame>
      <xdr:nvGraphicFramePr>
        <xdr:cNvPr id="7" name="Chart 7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3</xdr:col>
      <xdr:colOff>962025</xdr:colOff>
      <xdr:row>153</xdr:row>
      <xdr:rowOff>190500</xdr:rowOff>
    </xdr:from>
    <xdr:ext cx="5715000" cy="3533775"/>
    <xdr:graphicFrame>
      <xdr:nvGraphicFramePr>
        <xdr:cNvPr id="8" name="Chart 8" title="Gra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</cols>
  <sheetData>
    <row r="2">
      <c r="A2" s="1" t="s">
        <v>11</v>
      </c>
      <c r="B2" s="1">
        <v>0.1</v>
      </c>
      <c r="C2" s="1" t="s">
        <v>12</v>
      </c>
    </row>
    <row r="3">
      <c r="A3" s="1" t="s">
        <v>13</v>
      </c>
      <c r="B3" s="1">
        <v>490.0</v>
      </c>
    </row>
    <row r="4">
      <c r="A4" s="1" t="s">
        <v>14</v>
      </c>
      <c r="B4" s="1">
        <v>82.0</v>
      </c>
    </row>
    <row r="5">
      <c r="A5" s="1" t="s">
        <v>3</v>
      </c>
      <c r="B5" s="1">
        <v>20.0</v>
      </c>
      <c r="C5" s="1" t="s">
        <v>15</v>
      </c>
      <c r="D5" s="1">
        <v>0.001</v>
      </c>
    </row>
    <row r="8">
      <c r="A8" s="1" t="s">
        <v>16</v>
      </c>
      <c r="B8" s="1" t="s">
        <v>5</v>
      </c>
    </row>
    <row r="9">
      <c r="A9" s="7">
        <v>0.0317</v>
      </c>
      <c r="B9" s="8">
        <f>A9/B$2</f>
        <v>0.317</v>
      </c>
      <c r="S9" s="9"/>
    </row>
    <row r="10">
      <c r="A10" s="1" t="s">
        <v>17</v>
      </c>
    </row>
    <row r="11">
      <c r="N11" s="1" t="s">
        <v>2</v>
      </c>
      <c r="O11" s="1" t="s">
        <v>18</v>
      </c>
      <c r="P11" s="1" t="s">
        <v>6</v>
      </c>
      <c r="Q11" s="1" t="s">
        <v>19</v>
      </c>
      <c r="R11" s="1" t="s">
        <v>7</v>
      </c>
      <c r="S11" s="1" t="s">
        <v>20</v>
      </c>
    </row>
    <row r="12">
      <c r="A12" s="1" t="s">
        <v>2</v>
      </c>
      <c r="B12" s="1" t="s">
        <v>6</v>
      </c>
      <c r="C12" s="1" t="s">
        <v>7</v>
      </c>
      <c r="N12" s="1">
        <v>390.0</v>
      </c>
      <c r="O12" s="1">
        <v>1.0</v>
      </c>
      <c r="P12" s="1">
        <v>26.0</v>
      </c>
      <c r="Q12" s="10">
        <f t="shared" ref="Q12:Q39" si="1">SQRT(P12)</f>
        <v>5.099019514</v>
      </c>
      <c r="R12" s="11">
        <f t="shared" ref="R12:R39" si="2">P12/20</f>
        <v>1.3</v>
      </c>
      <c r="S12" s="12">
        <f t="shared" ref="S12:S39" si="3">SQRT( (Q12/P12)^2 + (0.001/20)^2)</f>
        <v>0.1961161415</v>
      </c>
      <c r="U12" s="3" t="str">
        <f t="shared" ref="U12:U39" si="4">CONCATENATE(TEXT(N12 ,"###"), " \pm 1 &amp; ", TEXT(P12 ,"####"), " \pm ", TEXT(Q12 ,"##"), " &amp; ", TEXT(R12 ,"##0.00"), " \pm " , TEXT(S12 ,"0.00"), "\\ \hline")</f>
        <v>390 \pm 1 &amp; 26 \pm 5 &amp; 1,30 \pm 0,20\\ \hline</v>
      </c>
    </row>
    <row r="13">
      <c r="A13" s="1">
        <v>390.0</v>
      </c>
      <c r="B13" s="1">
        <v>26.0</v>
      </c>
      <c r="C13" s="3">
        <f t="shared" ref="C13:C40" si="5">B13/20</f>
        <v>1.3</v>
      </c>
      <c r="N13" s="1">
        <v>392.0</v>
      </c>
      <c r="O13" s="1">
        <v>1.0</v>
      </c>
      <c r="P13" s="1">
        <v>105.0</v>
      </c>
      <c r="Q13" s="10">
        <f t="shared" si="1"/>
        <v>10.24695077</v>
      </c>
      <c r="R13" s="11">
        <f t="shared" si="2"/>
        <v>5.25</v>
      </c>
      <c r="S13" s="12">
        <f t="shared" si="3"/>
        <v>0.0975900201</v>
      </c>
      <c r="U13" s="3" t="str">
        <f t="shared" si="4"/>
        <v>392 \pm 1 &amp; 105 \pm 10 &amp; 5,25 \pm 0,10\\ \hline</v>
      </c>
    </row>
    <row r="14">
      <c r="A14" s="1">
        <v>392.0</v>
      </c>
      <c r="B14" s="1">
        <v>105.0</v>
      </c>
      <c r="C14" s="3">
        <f t="shared" si="5"/>
        <v>5.25</v>
      </c>
      <c r="N14" s="1">
        <v>394.0</v>
      </c>
      <c r="O14" s="1">
        <v>1.0</v>
      </c>
      <c r="P14" s="1">
        <v>607.0</v>
      </c>
      <c r="Q14" s="10">
        <f t="shared" si="1"/>
        <v>24.63736999</v>
      </c>
      <c r="R14" s="4">
        <f t="shared" si="2"/>
        <v>30.35</v>
      </c>
      <c r="S14" s="5">
        <f t="shared" si="3"/>
        <v>0.04058877872</v>
      </c>
      <c r="U14" s="3" t="str">
        <f t="shared" si="4"/>
        <v>394 \pm 1 &amp; 607 \pm 25 &amp; 30,35 \pm 0,04\\ \hline</v>
      </c>
    </row>
    <row r="15">
      <c r="A15" s="1">
        <v>394.0</v>
      </c>
      <c r="B15" s="1">
        <v>607.0</v>
      </c>
      <c r="C15" s="3">
        <f t="shared" si="5"/>
        <v>30.35</v>
      </c>
      <c r="N15" s="1">
        <v>397.0</v>
      </c>
      <c r="O15" s="1">
        <v>1.0</v>
      </c>
      <c r="P15" s="1">
        <v>1500.0</v>
      </c>
      <c r="Q15" s="10">
        <f t="shared" si="1"/>
        <v>38.72983346</v>
      </c>
      <c r="R15" s="4">
        <f t="shared" si="2"/>
        <v>75</v>
      </c>
      <c r="S15" s="5">
        <f t="shared" si="3"/>
        <v>0.02581993739</v>
      </c>
      <c r="U15" s="3" t="str">
        <f t="shared" si="4"/>
        <v>397 \pm 1 &amp; 1500 \pm 39 &amp; 75,00 \pm 0,03\\ \hline</v>
      </c>
    </row>
    <row r="16">
      <c r="A16" s="1">
        <v>397.0</v>
      </c>
      <c r="B16" s="1">
        <v>1500.0</v>
      </c>
      <c r="C16" s="3">
        <f t="shared" si="5"/>
        <v>75</v>
      </c>
      <c r="N16" s="1">
        <v>399.0</v>
      </c>
      <c r="O16" s="1">
        <v>1.0</v>
      </c>
      <c r="P16" s="1">
        <v>2253.0</v>
      </c>
      <c r="Q16" s="10">
        <f t="shared" si="1"/>
        <v>47.46577715</v>
      </c>
      <c r="R16" s="4">
        <f t="shared" si="2"/>
        <v>112.65</v>
      </c>
      <c r="S16" s="5">
        <f t="shared" si="3"/>
        <v>0.02106786987</v>
      </c>
      <c r="U16" s="3" t="str">
        <f t="shared" si="4"/>
        <v>399 \pm 1 &amp; 2253 \pm 47 &amp; 112,65 \pm 0,02\\ \hline</v>
      </c>
    </row>
    <row r="17">
      <c r="A17" s="1">
        <v>399.0</v>
      </c>
      <c r="B17" s="1">
        <v>2253.0</v>
      </c>
      <c r="C17" s="3">
        <f t="shared" si="5"/>
        <v>112.65</v>
      </c>
      <c r="N17" s="1">
        <v>402.0</v>
      </c>
      <c r="O17" s="1">
        <v>1.0</v>
      </c>
      <c r="P17" s="1">
        <v>2763.0</v>
      </c>
      <c r="Q17" s="10">
        <f t="shared" si="1"/>
        <v>52.5642464</v>
      </c>
      <c r="R17" s="4">
        <f t="shared" si="2"/>
        <v>138.15</v>
      </c>
      <c r="S17" s="5">
        <f t="shared" si="3"/>
        <v>0.01902440389</v>
      </c>
      <c r="U17" s="3" t="str">
        <f t="shared" si="4"/>
        <v>402 \pm 1 &amp; 2763 \pm 53 &amp; 138,15 \pm 0,02\\ \hline</v>
      </c>
    </row>
    <row r="18">
      <c r="A18" s="1">
        <v>402.0</v>
      </c>
      <c r="B18" s="1">
        <v>2763.0</v>
      </c>
      <c r="C18" s="3">
        <f t="shared" si="5"/>
        <v>138.15</v>
      </c>
      <c r="N18" s="1">
        <v>404.0</v>
      </c>
      <c r="O18" s="1">
        <v>1.0</v>
      </c>
      <c r="P18" s="1">
        <v>3169.0</v>
      </c>
      <c r="Q18" s="10">
        <f t="shared" si="1"/>
        <v>56.29387178</v>
      </c>
      <c r="R18" s="4">
        <f t="shared" si="2"/>
        <v>158.45</v>
      </c>
      <c r="S18" s="5">
        <f t="shared" si="3"/>
        <v>0.0177639933</v>
      </c>
      <c r="U18" s="3" t="str">
        <f t="shared" si="4"/>
        <v>404 \pm 1 &amp; 3169 \pm 56 &amp; 158,45 \pm 0,02\\ \hline</v>
      </c>
    </row>
    <row r="19">
      <c r="A19" s="1">
        <v>404.0</v>
      </c>
      <c r="B19" s="1">
        <v>3169.0</v>
      </c>
      <c r="C19" s="3">
        <f t="shared" si="5"/>
        <v>158.45</v>
      </c>
      <c r="N19" s="1">
        <v>406.0</v>
      </c>
      <c r="O19" s="1">
        <v>1.0</v>
      </c>
      <c r="P19" s="1">
        <v>4116.0</v>
      </c>
      <c r="Q19" s="10">
        <f t="shared" si="1"/>
        <v>64.15605973</v>
      </c>
      <c r="R19" s="4">
        <f t="shared" si="2"/>
        <v>205.8</v>
      </c>
      <c r="S19" s="5">
        <f t="shared" si="3"/>
        <v>0.01558707235</v>
      </c>
      <c r="U19" s="3" t="str">
        <f t="shared" si="4"/>
        <v>406 \pm 1 &amp; 4116 \pm 64 &amp; 205,80 \pm 0,02\\ \hline</v>
      </c>
    </row>
    <row r="20">
      <c r="A20" s="1">
        <v>406.0</v>
      </c>
      <c r="B20" s="1">
        <v>4116.0</v>
      </c>
      <c r="C20" s="3">
        <f t="shared" si="5"/>
        <v>205.8</v>
      </c>
      <c r="N20" s="1">
        <v>409.0</v>
      </c>
      <c r="O20" s="1">
        <v>1.0</v>
      </c>
      <c r="P20" s="1">
        <v>5404.0</v>
      </c>
      <c r="Q20" s="10">
        <f t="shared" si="1"/>
        <v>73.5119038</v>
      </c>
      <c r="R20" s="4">
        <f t="shared" si="2"/>
        <v>270.2</v>
      </c>
      <c r="S20" s="5">
        <f t="shared" si="3"/>
        <v>0.01360333093</v>
      </c>
      <c r="U20" s="3" t="str">
        <f t="shared" si="4"/>
        <v>409 \pm 1 &amp; 5404 \pm 74 &amp; 270,20 \pm 0,01\\ \hline</v>
      </c>
    </row>
    <row r="21">
      <c r="A21" s="1">
        <v>409.0</v>
      </c>
      <c r="B21" s="1">
        <v>5404.0</v>
      </c>
      <c r="C21" s="3">
        <f t="shared" si="5"/>
        <v>270.2</v>
      </c>
      <c r="N21" s="1">
        <v>411.0</v>
      </c>
      <c r="O21" s="1">
        <v>1.0</v>
      </c>
      <c r="P21" s="1">
        <v>6434.0</v>
      </c>
      <c r="Q21" s="10">
        <f t="shared" si="1"/>
        <v>80.21221852</v>
      </c>
      <c r="R21" s="4">
        <f t="shared" si="2"/>
        <v>321.7</v>
      </c>
      <c r="S21" s="5">
        <f t="shared" si="3"/>
        <v>0.01246702885</v>
      </c>
      <c r="U21" s="3" t="str">
        <f t="shared" si="4"/>
        <v>411 \pm 1 &amp; 6434 \pm 80 &amp; 321,70 \pm 0,01\\ \hline</v>
      </c>
    </row>
    <row r="22">
      <c r="A22" s="1">
        <v>411.0</v>
      </c>
      <c r="B22" s="1">
        <v>6434.0</v>
      </c>
      <c r="C22" s="3">
        <f t="shared" si="5"/>
        <v>321.7</v>
      </c>
      <c r="N22" s="1">
        <v>413.0</v>
      </c>
      <c r="O22" s="1">
        <v>1.0</v>
      </c>
      <c r="P22" s="1">
        <v>7211.0</v>
      </c>
      <c r="Q22" s="10">
        <f t="shared" si="1"/>
        <v>84.91760713</v>
      </c>
      <c r="R22" s="4">
        <f t="shared" si="2"/>
        <v>360.55</v>
      </c>
      <c r="S22" s="5">
        <f t="shared" si="3"/>
        <v>0.01177622695</v>
      </c>
      <c r="U22" s="3" t="str">
        <f t="shared" si="4"/>
        <v>413 \pm 1 &amp; 7211 \pm 85 &amp; 360,55 \pm 0,01\\ \hline</v>
      </c>
    </row>
    <row r="23">
      <c r="A23" s="1">
        <v>413.0</v>
      </c>
      <c r="B23" s="1">
        <v>7211.0</v>
      </c>
      <c r="C23" s="3">
        <f t="shared" si="5"/>
        <v>360.55</v>
      </c>
      <c r="N23" s="1">
        <v>416.0</v>
      </c>
      <c r="O23" s="1">
        <v>1.0</v>
      </c>
      <c r="P23" s="1">
        <v>7727.0</v>
      </c>
      <c r="Q23" s="10">
        <f t="shared" si="1"/>
        <v>87.90335602</v>
      </c>
      <c r="R23" s="4">
        <f t="shared" si="2"/>
        <v>386.35</v>
      </c>
      <c r="S23" s="5">
        <f t="shared" si="3"/>
        <v>0.01137623982</v>
      </c>
      <c r="U23" s="3" t="str">
        <f t="shared" si="4"/>
        <v>416 \pm 1 &amp; 7727 \pm 88 &amp; 386,35 \pm 0,01\\ \hline</v>
      </c>
    </row>
    <row r="24">
      <c r="A24" s="1">
        <v>416.0</v>
      </c>
      <c r="B24" s="1">
        <v>7727.0</v>
      </c>
      <c r="C24" s="3">
        <f t="shared" si="5"/>
        <v>386.35</v>
      </c>
      <c r="N24" s="1">
        <v>418.0</v>
      </c>
      <c r="O24" s="1">
        <v>1.0</v>
      </c>
      <c r="P24" s="1">
        <v>7724.0</v>
      </c>
      <c r="Q24" s="10">
        <f t="shared" si="1"/>
        <v>87.88629017</v>
      </c>
      <c r="R24" s="4">
        <f t="shared" si="2"/>
        <v>386.2</v>
      </c>
      <c r="S24" s="5">
        <f t="shared" si="3"/>
        <v>0.01137844882</v>
      </c>
      <c r="U24" s="3" t="str">
        <f t="shared" si="4"/>
        <v>418 \pm 1 &amp; 7724 \pm 88 &amp; 386,20 \pm 0,01\\ \hline</v>
      </c>
    </row>
    <row r="25">
      <c r="A25" s="1">
        <v>418.0</v>
      </c>
      <c r="B25" s="1">
        <v>7724.0</v>
      </c>
      <c r="C25" s="3">
        <f t="shared" si="5"/>
        <v>386.2</v>
      </c>
      <c r="N25" s="1">
        <v>421.0</v>
      </c>
      <c r="O25" s="1">
        <v>1.0</v>
      </c>
      <c r="P25" s="1">
        <v>7972.0</v>
      </c>
      <c r="Q25" s="10">
        <f t="shared" si="1"/>
        <v>89.28605714</v>
      </c>
      <c r="R25" s="4">
        <f t="shared" si="2"/>
        <v>398.6</v>
      </c>
      <c r="S25" s="5">
        <f t="shared" si="3"/>
        <v>0.0112000686</v>
      </c>
      <c r="U25" s="3" t="str">
        <f t="shared" si="4"/>
        <v>421 \pm 1 &amp; 7972 \pm 89 &amp; 398,60 \pm 0,01\\ \hline</v>
      </c>
    </row>
    <row r="26">
      <c r="A26" s="1">
        <v>421.0</v>
      </c>
      <c r="B26" s="1">
        <v>7972.0</v>
      </c>
      <c r="C26" s="3">
        <f t="shared" si="5"/>
        <v>398.6</v>
      </c>
      <c r="N26" s="1">
        <v>423.0</v>
      </c>
      <c r="O26" s="1">
        <v>1.0</v>
      </c>
      <c r="P26" s="1">
        <v>8017.0</v>
      </c>
      <c r="Q26" s="10">
        <f t="shared" si="1"/>
        <v>89.53770156</v>
      </c>
      <c r="R26" s="4">
        <f t="shared" si="2"/>
        <v>400.85</v>
      </c>
      <c r="S26" s="5">
        <f t="shared" si="3"/>
        <v>0.0111685916</v>
      </c>
      <c r="U26" s="3" t="str">
        <f t="shared" si="4"/>
        <v>423 \pm 1 &amp; 8017 \pm 90 &amp; 400,85 \pm 0,01\\ \hline</v>
      </c>
    </row>
    <row r="27">
      <c r="A27" s="1">
        <v>423.0</v>
      </c>
      <c r="B27" s="1">
        <v>8017.0</v>
      </c>
      <c r="C27" s="3">
        <f t="shared" si="5"/>
        <v>400.85</v>
      </c>
      <c r="N27" s="1">
        <v>425.0</v>
      </c>
      <c r="O27" s="1">
        <v>1.0</v>
      </c>
      <c r="P27" s="1">
        <v>7902.0</v>
      </c>
      <c r="Q27" s="10">
        <f t="shared" si="1"/>
        <v>88.89319434</v>
      </c>
      <c r="R27" s="4">
        <f t="shared" si="2"/>
        <v>395.1</v>
      </c>
      <c r="S27" s="5">
        <f t="shared" si="3"/>
        <v>0.01124956623</v>
      </c>
      <c r="U27" s="3" t="str">
        <f t="shared" si="4"/>
        <v>425 \pm 1 &amp; 7902 \pm 89 &amp; 395,10 \pm 0,01\\ \hline</v>
      </c>
    </row>
    <row r="28">
      <c r="A28" s="1">
        <v>425.0</v>
      </c>
      <c r="B28" s="1">
        <v>7902.0</v>
      </c>
      <c r="C28" s="3">
        <f t="shared" si="5"/>
        <v>395.1</v>
      </c>
      <c r="N28" s="1">
        <v>428.0</v>
      </c>
      <c r="O28" s="1">
        <v>1.0</v>
      </c>
      <c r="P28" s="1">
        <v>7904.0</v>
      </c>
      <c r="Q28" s="10">
        <f t="shared" si="1"/>
        <v>88.90444308</v>
      </c>
      <c r="R28" s="4">
        <f t="shared" si="2"/>
        <v>395.2</v>
      </c>
      <c r="S28" s="5">
        <f t="shared" si="3"/>
        <v>0.0112481429</v>
      </c>
      <c r="U28" s="3" t="str">
        <f t="shared" si="4"/>
        <v>428 \pm 1 &amp; 7904 \pm 89 &amp; 395,20 \pm 0,01\\ \hline</v>
      </c>
    </row>
    <row r="29">
      <c r="A29" s="1">
        <v>428.0</v>
      </c>
      <c r="B29" s="1">
        <v>7904.0</v>
      </c>
      <c r="C29" s="3">
        <f t="shared" si="5"/>
        <v>395.2</v>
      </c>
      <c r="N29" s="1">
        <v>432.0</v>
      </c>
      <c r="O29" s="1">
        <v>1.0</v>
      </c>
      <c r="P29" s="1">
        <v>8052.0</v>
      </c>
      <c r="Q29" s="10">
        <f t="shared" si="1"/>
        <v>89.7329371</v>
      </c>
      <c r="R29" s="4">
        <f t="shared" si="2"/>
        <v>402.6</v>
      </c>
      <c r="S29" s="5">
        <f t="shared" si="3"/>
        <v>0.01114429213</v>
      </c>
      <c r="U29" s="3" t="str">
        <f t="shared" si="4"/>
        <v>432 \pm 1 &amp; 8052 \pm 90 &amp; 402,60 \pm 0,01\\ \hline</v>
      </c>
    </row>
    <row r="30">
      <c r="A30" s="13">
        <v>432.0</v>
      </c>
      <c r="B30" s="1">
        <v>8052.0</v>
      </c>
      <c r="C30" s="3">
        <f t="shared" si="5"/>
        <v>402.6</v>
      </c>
      <c r="N30" s="1">
        <v>437.0</v>
      </c>
      <c r="O30" s="1">
        <v>1.0</v>
      </c>
      <c r="P30" s="1">
        <v>8099.0</v>
      </c>
      <c r="Q30" s="10">
        <f t="shared" si="1"/>
        <v>89.99444427</v>
      </c>
      <c r="R30" s="4">
        <f t="shared" si="2"/>
        <v>404.95</v>
      </c>
      <c r="S30" s="5">
        <f t="shared" si="3"/>
        <v>0.01111190954</v>
      </c>
      <c r="U30" s="3" t="str">
        <f t="shared" si="4"/>
        <v>437 \pm 1 &amp; 8099 \pm 90 &amp; 404,95 \pm 0,01\\ \hline</v>
      </c>
    </row>
    <row r="31">
      <c r="A31" s="1">
        <v>437.0</v>
      </c>
      <c r="B31" s="1">
        <v>8099.0</v>
      </c>
      <c r="C31" s="3">
        <f t="shared" si="5"/>
        <v>404.95</v>
      </c>
      <c r="N31" s="1">
        <v>442.0</v>
      </c>
      <c r="O31" s="1">
        <v>1.0</v>
      </c>
      <c r="P31" s="1">
        <v>7979.0</v>
      </c>
      <c r="Q31" s="10">
        <f t="shared" si="1"/>
        <v>89.32524839</v>
      </c>
      <c r="R31" s="4">
        <f t="shared" si="2"/>
        <v>398.95</v>
      </c>
      <c r="S31" s="5">
        <f t="shared" si="3"/>
        <v>0.01119515469</v>
      </c>
      <c r="U31" s="3" t="str">
        <f t="shared" si="4"/>
        <v>442 \pm 1 &amp; 7979 \pm 89 &amp; 398,95 \pm 0,01\\ \hline</v>
      </c>
    </row>
    <row r="32">
      <c r="A32" s="1">
        <v>442.0</v>
      </c>
      <c r="B32" s="1">
        <v>7979.0</v>
      </c>
      <c r="C32" s="3">
        <f t="shared" si="5"/>
        <v>398.95</v>
      </c>
      <c r="N32" s="1">
        <v>447.0</v>
      </c>
      <c r="O32" s="1">
        <v>1.0</v>
      </c>
      <c r="P32" s="1">
        <v>8162.0</v>
      </c>
      <c r="Q32" s="10">
        <f t="shared" si="1"/>
        <v>90.34378783</v>
      </c>
      <c r="R32" s="4">
        <f t="shared" si="2"/>
        <v>408.1</v>
      </c>
      <c r="S32" s="5">
        <f t="shared" si="3"/>
        <v>0.01106894261</v>
      </c>
      <c r="U32" s="3" t="str">
        <f t="shared" si="4"/>
        <v>447 \pm 1 &amp; 8162 \pm 90 &amp; 408,10 \pm 0,01\\ \hline</v>
      </c>
    </row>
    <row r="33">
      <c r="A33" s="1">
        <v>447.0</v>
      </c>
      <c r="B33" s="1">
        <v>8162.0</v>
      </c>
      <c r="C33" s="3">
        <f t="shared" si="5"/>
        <v>408.1</v>
      </c>
      <c r="N33" s="1">
        <v>451.0</v>
      </c>
      <c r="O33" s="1">
        <v>1.0</v>
      </c>
      <c r="P33" s="1">
        <v>8060.0</v>
      </c>
      <c r="Q33" s="10">
        <f t="shared" si="1"/>
        <v>89.77750275</v>
      </c>
      <c r="R33" s="4">
        <f t="shared" si="2"/>
        <v>403</v>
      </c>
      <c r="S33" s="5">
        <f t="shared" si="3"/>
        <v>0.01113876021</v>
      </c>
      <c r="U33" s="3" t="str">
        <f t="shared" si="4"/>
        <v>451 \pm 1 &amp; 8060 \pm 90 &amp; 403,00 \pm 0,01\\ \hline</v>
      </c>
    </row>
    <row r="34">
      <c r="A34" s="1">
        <v>451.0</v>
      </c>
      <c r="B34" s="1">
        <v>8060.0</v>
      </c>
      <c r="C34" s="3">
        <f t="shared" si="5"/>
        <v>403</v>
      </c>
      <c r="N34" s="1">
        <v>456.0</v>
      </c>
      <c r="O34" s="1">
        <v>1.0</v>
      </c>
      <c r="P34" s="1">
        <v>8251.0</v>
      </c>
      <c r="Q34" s="10">
        <f t="shared" si="1"/>
        <v>90.83501527</v>
      </c>
      <c r="R34" s="4">
        <f t="shared" si="2"/>
        <v>412.55</v>
      </c>
      <c r="S34" s="5">
        <f t="shared" si="3"/>
        <v>0.011009084</v>
      </c>
      <c r="U34" s="3" t="str">
        <f t="shared" si="4"/>
        <v>456 \pm 1 &amp; 8251 \pm 91 &amp; 412,55 \pm 0,01\\ \hline</v>
      </c>
    </row>
    <row r="35">
      <c r="A35" s="1">
        <v>456.0</v>
      </c>
      <c r="B35" s="1">
        <v>8251.0</v>
      </c>
      <c r="C35" s="3">
        <f t="shared" si="5"/>
        <v>412.55</v>
      </c>
      <c r="N35" s="1">
        <v>461.0</v>
      </c>
      <c r="O35" s="1">
        <v>1.0</v>
      </c>
      <c r="P35" s="1">
        <v>8177.0</v>
      </c>
      <c r="Q35" s="10">
        <f t="shared" si="1"/>
        <v>90.42676595</v>
      </c>
      <c r="R35" s="4">
        <f t="shared" si="2"/>
        <v>408.85</v>
      </c>
      <c r="S35" s="5">
        <f t="shared" si="3"/>
        <v>0.01105878564</v>
      </c>
      <c r="U35" s="3" t="str">
        <f t="shared" si="4"/>
        <v>461 \pm 1 &amp; 8177 \pm 90 &amp; 408,85 \pm 0,01\\ \hline</v>
      </c>
    </row>
    <row r="36">
      <c r="A36" s="1">
        <v>461.0</v>
      </c>
      <c r="B36" s="1">
        <v>8177.0</v>
      </c>
      <c r="C36" s="3">
        <f t="shared" si="5"/>
        <v>408.85</v>
      </c>
      <c r="N36" s="1">
        <v>466.0</v>
      </c>
      <c r="O36" s="1">
        <v>1.0</v>
      </c>
      <c r="P36" s="1">
        <v>8168.0</v>
      </c>
      <c r="Q36" s="10">
        <f t="shared" si="1"/>
        <v>90.37698822</v>
      </c>
      <c r="R36" s="4">
        <f t="shared" si="2"/>
        <v>408.4</v>
      </c>
      <c r="S36" s="5">
        <f t="shared" si="3"/>
        <v>0.01106487646</v>
      </c>
      <c r="U36" s="3" t="str">
        <f t="shared" si="4"/>
        <v>466 \pm 1 &amp; 8168 \pm 90 &amp; 408,40 \pm 0,01\\ \hline</v>
      </c>
    </row>
    <row r="37">
      <c r="A37" s="1">
        <v>466.0</v>
      </c>
      <c r="B37" s="1">
        <v>8168.0</v>
      </c>
      <c r="C37" s="3">
        <f t="shared" si="5"/>
        <v>408.4</v>
      </c>
      <c r="N37" s="1">
        <v>471.0</v>
      </c>
      <c r="O37" s="1">
        <v>1.0</v>
      </c>
      <c r="P37" s="1">
        <v>8173.0</v>
      </c>
      <c r="Q37" s="10">
        <f t="shared" si="1"/>
        <v>90.4046459</v>
      </c>
      <c r="R37" s="4">
        <f t="shared" si="2"/>
        <v>408.65</v>
      </c>
      <c r="S37" s="5">
        <f t="shared" si="3"/>
        <v>0.01106149143</v>
      </c>
      <c r="U37" s="3" t="str">
        <f t="shared" si="4"/>
        <v>471 \pm 1 &amp; 8173 \pm 90 &amp; 408,65 \pm 0,01\\ \hline</v>
      </c>
    </row>
    <row r="38">
      <c r="A38" s="1">
        <v>471.0</v>
      </c>
      <c r="B38" s="1">
        <v>8173.0</v>
      </c>
      <c r="C38" s="3">
        <f t="shared" si="5"/>
        <v>408.65</v>
      </c>
      <c r="N38" s="1">
        <v>475.0</v>
      </c>
      <c r="O38" s="1">
        <v>1.0</v>
      </c>
      <c r="P38" s="1">
        <v>8083.0</v>
      </c>
      <c r="Q38" s="10">
        <f t="shared" si="1"/>
        <v>89.90550595</v>
      </c>
      <c r="R38" s="4">
        <f t="shared" si="2"/>
        <v>404.15</v>
      </c>
      <c r="S38" s="5">
        <f t="shared" si="3"/>
        <v>0.01112290169</v>
      </c>
      <c r="U38" s="3" t="str">
        <f t="shared" si="4"/>
        <v>475 \pm 1 &amp; 8083 \pm 90 &amp; 404,15 \pm 0,01\\ \hline</v>
      </c>
    </row>
    <row r="39">
      <c r="A39" s="1">
        <v>475.0</v>
      </c>
      <c r="B39" s="1">
        <v>8083.0</v>
      </c>
      <c r="C39" s="3">
        <f t="shared" si="5"/>
        <v>404.15</v>
      </c>
      <c r="N39" s="1">
        <v>480.0</v>
      </c>
      <c r="O39" s="1">
        <v>1.0</v>
      </c>
      <c r="P39" s="1">
        <v>8222.0</v>
      </c>
      <c r="Q39" s="10">
        <f t="shared" si="1"/>
        <v>90.67524469</v>
      </c>
      <c r="R39" s="4">
        <f t="shared" si="2"/>
        <v>411.1</v>
      </c>
      <c r="S39" s="5">
        <f t="shared" si="3"/>
        <v>0.01102848171</v>
      </c>
      <c r="U39" s="3" t="str">
        <f t="shared" si="4"/>
        <v>480 \pm 1 &amp; 8222 \pm 91 &amp; 411,10 \pm 0,01\\ \hline</v>
      </c>
    </row>
    <row r="40">
      <c r="A40" s="1">
        <v>480.0</v>
      </c>
      <c r="B40" s="1">
        <v>8222.0</v>
      </c>
      <c r="C40" s="3">
        <f t="shared" si="5"/>
        <v>411.1</v>
      </c>
    </row>
    <row r="46">
      <c r="A46" s="1" t="s">
        <v>2</v>
      </c>
      <c r="B46" s="1">
        <v>432.0</v>
      </c>
    </row>
    <row r="48">
      <c r="A48" s="1" t="s">
        <v>4</v>
      </c>
      <c r="B48" s="1" t="s">
        <v>5</v>
      </c>
      <c r="C48" s="1" t="s">
        <v>6</v>
      </c>
      <c r="D48" s="1" t="s">
        <v>7</v>
      </c>
      <c r="O48" s="1" t="s">
        <v>4</v>
      </c>
      <c r="Q48" s="1" t="s">
        <v>5</v>
      </c>
      <c r="S48" s="1" t="s">
        <v>6</v>
      </c>
      <c r="U48" s="1" t="s">
        <v>7</v>
      </c>
    </row>
    <row r="49">
      <c r="A49" s="1">
        <v>21.1</v>
      </c>
      <c r="B49" s="3">
        <f t="shared" ref="B49:B84" si="8">A49/0.1/1000</f>
        <v>0.211</v>
      </c>
      <c r="C49" s="1">
        <v>5564.0</v>
      </c>
      <c r="D49" s="3">
        <f t="shared" ref="D49:D84" si="9">C49/20</f>
        <v>278.2</v>
      </c>
      <c r="O49" s="12">
        <v>21.1</v>
      </c>
      <c r="P49" s="11">
        <f t="shared" ref="P49:P73" si="10">(0.1/100)*O49+0.5</f>
        <v>0.5211</v>
      </c>
      <c r="Q49" s="6">
        <f t="shared" ref="Q49:R49" si="6">O49/0.1/1000</f>
        <v>0.211</v>
      </c>
      <c r="R49" s="6">
        <f t="shared" si="6"/>
        <v>0.005211</v>
      </c>
      <c r="S49" s="14">
        <v>5564.0</v>
      </c>
      <c r="T49" s="10">
        <f t="shared" ref="T49:T84" si="12">SQRT(S49)</f>
        <v>74.5922248</v>
      </c>
      <c r="U49" s="10">
        <f t="shared" ref="U49:V49" si="7">S49/20</f>
        <v>278.2</v>
      </c>
      <c r="V49" s="10">
        <f t="shared" si="7"/>
        <v>3.72961124</v>
      </c>
      <c r="X49" s="3" t="str">
        <f t="shared" ref="X49:X68" si="14">CONCATENATE(TEXT(O49,"###.#"), " \pm " , TEXT(P49,"0.0") , " &amp; ", TEXT(Q49, "#0.000") , " \pm " , TEXT(R49,"0.000") , " &amp; " , TEXT(S49, "#####"), " \pm ", TEXT(T49, "###") , " &amp; ", TEXT(U49,"####") , " \pm ", TEXT(V49,"#"), " \\")</f>
        <v>21,1 \pm 0,5 &amp; 0,211 \pm 0,005 &amp; 5564 \pm 75 &amp; 278 \pm 4 \\</v>
      </c>
    </row>
    <row r="50">
      <c r="A50" s="1">
        <v>27.8</v>
      </c>
      <c r="B50" s="3">
        <f t="shared" si="8"/>
        <v>0.278</v>
      </c>
      <c r="C50" s="1">
        <v>7238.0</v>
      </c>
      <c r="D50" s="3">
        <f t="shared" si="9"/>
        <v>361.9</v>
      </c>
      <c r="O50" s="12">
        <v>27.8</v>
      </c>
      <c r="P50" s="11">
        <f t="shared" si="10"/>
        <v>0.5278</v>
      </c>
      <c r="Q50" s="6">
        <f t="shared" ref="Q50:R50" si="11">O50/0.1/1000</f>
        <v>0.278</v>
      </c>
      <c r="R50" s="6">
        <f t="shared" si="11"/>
        <v>0.005278</v>
      </c>
      <c r="S50" s="14">
        <v>7238.0</v>
      </c>
      <c r="T50" s="10">
        <f t="shared" si="12"/>
        <v>85.07643622</v>
      </c>
      <c r="U50" s="10">
        <f t="shared" ref="U50:V50" si="13">S50/20</f>
        <v>361.9</v>
      </c>
      <c r="V50" s="10">
        <f t="shared" si="13"/>
        <v>4.253821811</v>
      </c>
      <c r="X50" s="3" t="str">
        <f t="shared" si="14"/>
        <v>27,8 \pm 0,5 &amp; 0,278 \pm 0,005 &amp; 7238 \pm 85 &amp; 362 \pm 4 \\</v>
      </c>
    </row>
    <row r="51">
      <c r="A51" s="1">
        <v>36.9</v>
      </c>
      <c r="B51" s="3">
        <f t="shared" si="8"/>
        <v>0.369</v>
      </c>
      <c r="C51" s="1">
        <v>9368.0</v>
      </c>
      <c r="D51" s="3">
        <f t="shared" si="9"/>
        <v>468.4</v>
      </c>
      <c r="O51" s="12">
        <v>36.9</v>
      </c>
      <c r="P51" s="11">
        <f t="shared" si="10"/>
        <v>0.5369</v>
      </c>
      <c r="Q51" s="6">
        <f t="shared" ref="Q51:R51" si="15">O51/0.1/1000</f>
        <v>0.369</v>
      </c>
      <c r="R51" s="6">
        <f t="shared" si="15"/>
        <v>0.005369</v>
      </c>
      <c r="S51" s="14">
        <v>9368.0</v>
      </c>
      <c r="T51" s="10">
        <f t="shared" si="12"/>
        <v>96.78842906</v>
      </c>
      <c r="U51" s="10">
        <f t="shared" ref="U51:V51" si="16">S51/20</f>
        <v>468.4</v>
      </c>
      <c r="V51" s="10">
        <f t="shared" si="16"/>
        <v>4.839421453</v>
      </c>
      <c r="X51" s="3" t="str">
        <f t="shared" si="14"/>
        <v>36,9 \pm 0,5 &amp; 0,369 \pm 0,005 &amp; 9368 \pm 97 &amp; 468 \pm 5 \\</v>
      </c>
    </row>
    <row r="52">
      <c r="A52" s="1">
        <v>50.1</v>
      </c>
      <c r="B52" s="3">
        <f t="shared" si="8"/>
        <v>0.501</v>
      </c>
      <c r="C52" s="1">
        <v>12065.0</v>
      </c>
      <c r="D52" s="3">
        <f t="shared" si="9"/>
        <v>603.25</v>
      </c>
      <c r="O52" s="12">
        <v>50.1</v>
      </c>
      <c r="P52" s="11">
        <f t="shared" si="10"/>
        <v>0.5501</v>
      </c>
      <c r="Q52" s="6">
        <f t="shared" ref="Q52:R52" si="17">O52/0.1/1000</f>
        <v>0.501</v>
      </c>
      <c r="R52" s="6">
        <f t="shared" si="17"/>
        <v>0.005501</v>
      </c>
      <c r="S52" s="14">
        <v>12065.0</v>
      </c>
      <c r="T52" s="10">
        <f t="shared" si="12"/>
        <v>109.8407939</v>
      </c>
      <c r="U52" s="10">
        <f t="shared" ref="U52:V52" si="18">S52/20</f>
        <v>603.25</v>
      </c>
      <c r="V52" s="10">
        <f t="shared" si="18"/>
        <v>5.492039694</v>
      </c>
      <c r="X52" s="3" t="str">
        <f t="shared" si="14"/>
        <v>50,1 \pm 0,6 &amp; 0,501 \pm 0,006 &amp; 12065 \pm 110 &amp; 603 \pm 5 \\</v>
      </c>
    </row>
    <row r="53">
      <c r="A53" s="12">
        <v>59.0</v>
      </c>
      <c r="B53" s="3">
        <f t="shared" si="8"/>
        <v>0.59</v>
      </c>
      <c r="C53" s="1">
        <v>13868.0</v>
      </c>
      <c r="D53" s="3">
        <f t="shared" si="9"/>
        <v>693.4</v>
      </c>
      <c r="O53" s="12">
        <v>59.0</v>
      </c>
      <c r="P53" s="11">
        <f t="shared" si="10"/>
        <v>0.559</v>
      </c>
      <c r="Q53" s="6">
        <f t="shared" ref="Q53:R53" si="19">O53/0.1/1000</f>
        <v>0.59</v>
      </c>
      <c r="R53" s="6">
        <f t="shared" si="19"/>
        <v>0.00559</v>
      </c>
      <c r="S53" s="14">
        <v>13868.0</v>
      </c>
      <c r="T53" s="10">
        <f t="shared" si="12"/>
        <v>117.7624728</v>
      </c>
      <c r="U53" s="10">
        <f t="shared" ref="U53:V53" si="20">S53/20</f>
        <v>693.4</v>
      </c>
      <c r="V53" s="10">
        <f t="shared" si="20"/>
        <v>5.88812364</v>
      </c>
      <c r="X53" s="3" t="str">
        <f t="shared" si="14"/>
        <v>59, \pm 0,6 &amp; 0,590 \pm 0,006 &amp; 13868 \pm 118 &amp; 693 \pm 6 \\</v>
      </c>
    </row>
    <row r="54">
      <c r="A54" s="1">
        <v>71.4</v>
      </c>
      <c r="B54" s="3">
        <f t="shared" si="8"/>
        <v>0.714</v>
      </c>
      <c r="C54" s="1">
        <v>16114.0</v>
      </c>
      <c r="D54" s="3">
        <f t="shared" si="9"/>
        <v>805.7</v>
      </c>
      <c r="O54" s="12">
        <v>71.4</v>
      </c>
      <c r="P54" s="11">
        <f t="shared" si="10"/>
        <v>0.5714</v>
      </c>
      <c r="Q54" s="6">
        <f t="shared" ref="Q54:R54" si="21">O54/0.1/1000</f>
        <v>0.714</v>
      </c>
      <c r="R54" s="6">
        <f t="shared" si="21"/>
        <v>0.005714</v>
      </c>
      <c r="S54" s="14">
        <v>16114.0</v>
      </c>
      <c r="T54" s="10">
        <f t="shared" si="12"/>
        <v>126.9409311</v>
      </c>
      <c r="U54" s="10">
        <f t="shared" ref="U54:V54" si="22">S54/20</f>
        <v>805.7</v>
      </c>
      <c r="V54" s="10">
        <f t="shared" si="22"/>
        <v>6.347046557</v>
      </c>
      <c r="X54" s="3" t="str">
        <f t="shared" si="14"/>
        <v>71,4 \pm 0,6 &amp; 0,714 \pm 0,006 &amp; 16114 \pm 127 &amp; 806 \pm 6 \\</v>
      </c>
    </row>
    <row r="55">
      <c r="A55" s="1">
        <v>82.2</v>
      </c>
      <c r="B55" s="3">
        <f t="shared" si="8"/>
        <v>0.822</v>
      </c>
      <c r="C55" s="1">
        <v>17052.0</v>
      </c>
      <c r="D55" s="3">
        <f t="shared" si="9"/>
        <v>852.6</v>
      </c>
      <c r="O55" s="12">
        <v>82.2</v>
      </c>
      <c r="P55" s="11">
        <f t="shared" si="10"/>
        <v>0.5822</v>
      </c>
      <c r="Q55" s="6">
        <f t="shared" ref="Q55:R55" si="23">O55/0.1/1000</f>
        <v>0.822</v>
      </c>
      <c r="R55" s="6">
        <f t="shared" si="23"/>
        <v>0.005822</v>
      </c>
      <c r="S55" s="14">
        <v>17052.0</v>
      </c>
      <c r="T55" s="10">
        <f t="shared" si="12"/>
        <v>130.5833067</v>
      </c>
      <c r="U55" s="10">
        <f t="shared" ref="U55:V55" si="24">S55/20</f>
        <v>852.6</v>
      </c>
      <c r="V55" s="10">
        <f t="shared" si="24"/>
        <v>6.529165337</v>
      </c>
      <c r="X55" s="3" t="str">
        <f t="shared" si="14"/>
        <v>82,2 \pm 0,6 &amp; 0,822 \pm 0,006 &amp; 17052 \pm 131 &amp; 853 \pm 7 \\</v>
      </c>
    </row>
    <row r="56">
      <c r="A56" s="12">
        <v>88.0</v>
      </c>
      <c r="B56" s="3">
        <f t="shared" si="8"/>
        <v>0.88</v>
      </c>
      <c r="C56" s="1">
        <v>17870.0</v>
      </c>
      <c r="D56" s="3">
        <f t="shared" si="9"/>
        <v>893.5</v>
      </c>
      <c r="O56" s="12">
        <v>88.0</v>
      </c>
      <c r="P56" s="11">
        <f t="shared" si="10"/>
        <v>0.588</v>
      </c>
      <c r="Q56" s="6">
        <f t="shared" ref="Q56:R56" si="25">O56/0.1/1000</f>
        <v>0.88</v>
      </c>
      <c r="R56" s="6">
        <f t="shared" si="25"/>
        <v>0.00588</v>
      </c>
      <c r="S56" s="14">
        <v>17870.0</v>
      </c>
      <c r="T56" s="10">
        <f t="shared" si="12"/>
        <v>133.6787193</v>
      </c>
      <c r="U56" s="10">
        <f t="shared" ref="U56:V56" si="26">S56/20</f>
        <v>893.5</v>
      </c>
      <c r="V56" s="10">
        <f t="shared" si="26"/>
        <v>6.683935966</v>
      </c>
      <c r="X56" s="3" t="str">
        <f t="shared" si="14"/>
        <v>88, \pm 0,6 &amp; 0,880 \pm 0,006 &amp; 17870 \pm 134 &amp; 894 \pm 7 \\</v>
      </c>
    </row>
    <row r="57">
      <c r="A57" s="1">
        <v>104.5</v>
      </c>
      <c r="B57" s="3">
        <f t="shared" si="8"/>
        <v>1.045</v>
      </c>
      <c r="C57" s="1">
        <v>18460.0</v>
      </c>
      <c r="D57" s="3">
        <f t="shared" si="9"/>
        <v>923</v>
      </c>
      <c r="O57" s="12">
        <v>104.5</v>
      </c>
      <c r="P57" s="11">
        <f t="shared" si="10"/>
        <v>0.6045</v>
      </c>
      <c r="Q57" s="6">
        <f t="shared" ref="Q57:R57" si="27">O57/0.1/1000</f>
        <v>1.045</v>
      </c>
      <c r="R57" s="6">
        <f t="shared" si="27"/>
        <v>0.006045</v>
      </c>
      <c r="S57" s="14">
        <v>18460.0</v>
      </c>
      <c r="T57" s="10">
        <f t="shared" si="12"/>
        <v>135.8675826</v>
      </c>
      <c r="U57" s="10">
        <f t="shared" ref="U57:V57" si="28">S57/20</f>
        <v>923</v>
      </c>
      <c r="V57" s="10">
        <f t="shared" si="28"/>
        <v>6.79337913</v>
      </c>
      <c r="X57" s="3" t="str">
        <f t="shared" si="14"/>
        <v>104,5 \pm 0,6 &amp; 1,045 \pm 0,006 &amp; 18460 \pm 136 &amp; 923 \pm 7 \\</v>
      </c>
    </row>
    <row r="58">
      <c r="A58" s="1">
        <v>113.5</v>
      </c>
      <c r="B58" s="3">
        <f t="shared" si="8"/>
        <v>1.135</v>
      </c>
      <c r="C58" s="1">
        <v>18573.0</v>
      </c>
      <c r="D58" s="3">
        <f t="shared" si="9"/>
        <v>928.65</v>
      </c>
      <c r="O58" s="12">
        <v>113.5</v>
      </c>
      <c r="P58" s="11">
        <f t="shared" si="10"/>
        <v>0.6135</v>
      </c>
      <c r="Q58" s="6">
        <f t="shared" ref="Q58:R58" si="29">O58/0.1/1000</f>
        <v>1.135</v>
      </c>
      <c r="R58" s="6">
        <f t="shared" si="29"/>
        <v>0.006135</v>
      </c>
      <c r="S58" s="14">
        <v>18573.0</v>
      </c>
      <c r="T58" s="10">
        <f t="shared" si="12"/>
        <v>136.2827942</v>
      </c>
      <c r="U58" s="10">
        <f t="shared" ref="U58:V58" si="30">S58/20</f>
        <v>928.65</v>
      </c>
      <c r="V58" s="10">
        <f t="shared" si="30"/>
        <v>6.814139711</v>
      </c>
      <c r="X58" s="3" t="str">
        <f t="shared" si="14"/>
        <v>113,5 \pm 0,6 &amp; 1,135 \pm 0,006 &amp; 18573 \pm 136 &amp; 929 \pm 7 \\</v>
      </c>
    </row>
    <row r="59">
      <c r="A59" s="1">
        <v>122.5</v>
      </c>
      <c r="B59" s="3">
        <f t="shared" si="8"/>
        <v>1.225</v>
      </c>
      <c r="C59" s="1">
        <v>18660.0</v>
      </c>
      <c r="D59" s="3">
        <f t="shared" si="9"/>
        <v>933</v>
      </c>
      <c r="O59" s="12">
        <v>122.5</v>
      </c>
      <c r="P59" s="11">
        <f t="shared" si="10"/>
        <v>0.6225</v>
      </c>
      <c r="Q59" s="6">
        <f t="shared" ref="Q59:R59" si="31">O59/0.1/1000</f>
        <v>1.225</v>
      </c>
      <c r="R59" s="6">
        <f t="shared" si="31"/>
        <v>0.006225</v>
      </c>
      <c r="S59" s="14">
        <v>18660.0</v>
      </c>
      <c r="T59" s="10">
        <f t="shared" si="12"/>
        <v>136.6016105</v>
      </c>
      <c r="U59" s="10">
        <f t="shared" ref="U59:V59" si="32">S59/20</f>
        <v>933</v>
      </c>
      <c r="V59" s="10">
        <f t="shared" si="32"/>
        <v>6.830080527</v>
      </c>
      <c r="X59" s="3" t="str">
        <f t="shared" si="14"/>
        <v>122,5 \pm 0,6 &amp; 1,225 \pm 0,006 &amp; 18660 \pm 137 &amp; 933 \pm 7 \\</v>
      </c>
    </row>
    <row r="60">
      <c r="A60" s="1">
        <v>129.2</v>
      </c>
      <c r="B60" s="3">
        <f t="shared" si="8"/>
        <v>1.292</v>
      </c>
      <c r="C60" s="1">
        <v>18363.0</v>
      </c>
      <c r="D60" s="3">
        <f t="shared" si="9"/>
        <v>918.15</v>
      </c>
      <c r="O60" s="12">
        <v>129.2</v>
      </c>
      <c r="P60" s="11">
        <f t="shared" si="10"/>
        <v>0.6292</v>
      </c>
      <c r="Q60" s="6">
        <f t="shared" ref="Q60:R60" si="33">O60/0.1/1000</f>
        <v>1.292</v>
      </c>
      <c r="R60" s="6">
        <f t="shared" si="33"/>
        <v>0.006292</v>
      </c>
      <c r="S60" s="14">
        <v>18363.0</v>
      </c>
      <c r="T60" s="10">
        <f t="shared" si="12"/>
        <v>135.5101472</v>
      </c>
      <c r="U60" s="10">
        <f t="shared" ref="U60:V60" si="34">S60/20</f>
        <v>918.15</v>
      </c>
      <c r="V60" s="10">
        <f t="shared" si="34"/>
        <v>6.775507361</v>
      </c>
      <c r="X60" s="3" t="str">
        <f t="shared" si="14"/>
        <v>129,2 \pm 0,6 &amp; 1,292 \pm 0,006 &amp; 18363 \pm 136 &amp; 918 \pm 7 \\</v>
      </c>
    </row>
    <row r="61">
      <c r="A61" s="1">
        <v>136.3</v>
      </c>
      <c r="B61" s="3">
        <f t="shared" si="8"/>
        <v>1.363</v>
      </c>
      <c r="C61" s="1">
        <v>18624.0</v>
      </c>
      <c r="D61" s="3">
        <f t="shared" si="9"/>
        <v>931.2</v>
      </c>
      <c r="O61" s="12">
        <v>136.3</v>
      </c>
      <c r="P61" s="11">
        <f t="shared" si="10"/>
        <v>0.6363</v>
      </c>
      <c r="Q61" s="6">
        <f t="shared" ref="Q61:R61" si="35">O61/0.1/1000</f>
        <v>1.363</v>
      </c>
      <c r="R61" s="6">
        <f t="shared" si="35"/>
        <v>0.006363</v>
      </c>
      <c r="S61" s="14">
        <v>18624.0</v>
      </c>
      <c r="T61" s="10">
        <f t="shared" si="12"/>
        <v>136.4697769</v>
      </c>
      <c r="U61" s="10">
        <f t="shared" ref="U61:V61" si="36">S61/20</f>
        <v>931.2</v>
      </c>
      <c r="V61" s="10">
        <f t="shared" si="36"/>
        <v>6.823488844</v>
      </c>
      <c r="X61" s="3" t="str">
        <f t="shared" si="14"/>
        <v>136,3 \pm 0,6 &amp; 1,363 \pm 0,006 &amp; 18624 \pm 136 &amp; 931 \pm 7 \\</v>
      </c>
    </row>
    <row r="62">
      <c r="A62" s="12">
        <v>145.0</v>
      </c>
      <c r="B62" s="3">
        <f t="shared" si="8"/>
        <v>1.45</v>
      </c>
      <c r="C62" s="1">
        <v>18840.0</v>
      </c>
      <c r="D62" s="3">
        <f t="shared" si="9"/>
        <v>942</v>
      </c>
      <c r="O62" s="12">
        <v>145.0</v>
      </c>
      <c r="P62" s="11">
        <f t="shared" si="10"/>
        <v>0.645</v>
      </c>
      <c r="Q62" s="6">
        <f t="shared" ref="Q62:R62" si="37">O62/0.1/1000</f>
        <v>1.45</v>
      </c>
      <c r="R62" s="6">
        <f t="shared" si="37"/>
        <v>0.00645</v>
      </c>
      <c r="S62" s="14">
        <v>18840.0</v>
      </c>
      <c r="T62" s="10">
        <f t="shared" si="12"/>
        <v>137.2588795</v>
      </c>
      <c r="U62" s="10">
        <f t="shared" ref="U62:V62" si="38">S62/20</f>
        <v>942</v>
      </c>
      <c r="V62" s="10">
        <f t="shared" si="38"/>
        <v>6.862943975</v>
      </c>
      <c r="X62" s="3" t="str">
        <f t="shared" si="14"/>
        <v>145, \pm 0,6 &amp; 1,450 \pm 0,006 &amp; 18840 \pm 137 &amp; 942 \pm 7 \\</v>
      </c>
    </row>
    <row r="63">
      <c r="A63" s="1">
        <v>159.4</v>
      </c>
      <c r="B63" s="3">
        <f t="shared" si="8"/>
        <v>1.594</v>
      </c>
      <c r="C63" s="1">
        <v>18936.0</v>
      </c>
      <c r="D63" s="3">
        <f t="shared" si="9"/>
        <v>946.8</v>
      </c>
      <c r="O63" s="12">
        <v>159.4</v>
      </c>
      <c r="P63" s="11">
        <f t="shared" si="10"/>
        <v>0.6594</v>
      </c>
      <c r="Q63" s="6">
        <f t="shared" ref="Q63:R63" si="39">O63/0.1/1000</f>
        <v>1.594</v>
      </c>
      <c r="R63" s="6">
        <f t="shared" si="39"/>
        <v>0.006594</v>
      </c>
      <c r="S63" s="14">
        <v>18936.0</v>
      </c>
      <c r="T63" s="10">
        <f t="shared" si="12"/>
        <v>137.6081393</v>
      </c>
      <c r="U63" s="10">
        <f t="shared" ref="U63:V63" si="40">S63/20</f>
        <v>946.8</v>
      </c>
      <c r="V63" s="10">
        <f t="shared" si="40"/>
        <v>6.880406965</v>
      </c>
      <c r="X63" s="3" t="str">
        <f t="shared" si="14"/>
        <v>159,4 \pm 0,7 &amp; 1,594 \pm 0,007 &amp; 18936 \pm 138 &amp; 947 \pm 7 \\</v>
      </c>
    </row>
    <row r="64">
      <c r="A64" s="1">
        <v>172.7</v>
      </c>
      <c r="B64" s="3">
        <f t="shared" si="8"/>
        <v>1.727</v>
      </c>
      <c r="C64" s="1">
        <v>19093.0</v>
      </c>
      <c r="D64" s="3">
        <f t="shared" si="9"/>
        <v>954.65</v>
      </c>
      <c r="O64" s="12">
        <v>172.7</v>
      </c>
      <c r="P64" s="11">
        <f t="shared" si="10"/>
        <v>0.6727</v>
      </c>
      <c r="Q64" s="6">
        <f t="shared" ref="Q64:R64" si="41">O64/0.1/1000</f>
        <v>1.727</v>
      </c>
      <c r="R64" s="6">
        <f t="shared" si="41"/>
        <v>0.006727</v>
      </c>
      <c r="S64" s="14">
        <v>19093.0</v>
      </c>
      <c r="T64" s="10">
        <f t="shared" si="12"/>
        <v>138.1774222</v>
      </c>
      <c r="U64" s="10">
        <f t="shared" ref="U64:V64" si="42">S64/20</f>
        <v>954.65</v>
      </c>
      <c r="V64" s="10">
        <f t="shared" si="42"/>
        <v>6.908871109</v>
      </c>
      <c r="X64" s="3" t="str">
        <f t="shared" si="14"/>
        <v>172,7 \pm 0,7 &amp; 1,727 \pm 0,007 &amp; 19093 \pm 138 &amp; 955 \pm 7 \\</v>
      </c>
    </row>
    <row r="65">
      <c r="A65" s="1">
        <v>178.5</v>
      </c>
      <c r="B65" s="3">
        <f t="shared" si="8"/>
        <v>1.785</v>
      </c>
      <c r="C65" s="1">
        <v>19170.0</v>
      </c>
      <c r="D65" s="3">
        <f t="shared" si="9"/>
        <v>958.5</v>
      </c>
      <c r="O65" s="12">
        <v>178.5</v>
      </c>
      <c r="P65" s="11">
        <f t="shared" si="10"/>
        <v>0.6785</v>
      </c>
      <c r="Q65" s="6">
        <f t="shared" ref="Q65:R65" si="43">O65/0.1/1000</f>
        <v>1.785</v>
      </c>
      <c r="R65" s="6">
        <f t="shared" si="43"/>
        <v>0.006785</v>
      </c>
      <c r="S65" s="14">
        <v>19170.0</v>
      </c>
      <c r="T65" s="10">
        <f t="shared" si="12"/>
        <v>138.4557691</v>
      </c>
      <c r="U65" s="10">
        <f t="shared" ref="U65:V65" si="44">S65/20</f>
        <v>958.5</v>
      </c>
      <c r="V65" s="10">
        <f t="shared" si="44"/>
        <v>6.922788456</v>
      </c>
      <c r="X65" s="3" t="str">
        <f t="shared" si="14"/>
        <v>178,5 \pm 0,7 &amp; 1,785 \pm 0,007 &amp; 19170 \pm 138 &amp; 959 \pm 7 \\</v>
      </c>
    </row>
    <row r="66">
      <c r="A66" s="1">
        <v>198.5</v>
      </c>
      <c r="B66" s="3">
        <f t="shared" si="8"/>
        <v>1.985</v>
      </c>
      <c r="C66" s="1">
        <v>19262.0</v>
      </c>
      <c r="D66" s="3">
        <f t="shared" si="9"/>
        <v>963.1</v>
      </c>
      <c r="O66" s="12">
        <v>198.5</v>
      </c>
      <c r="P66" s="11">
        <f t="shared" si="10"/>
        <v>0.6985</v>
      </c>
      <c r="Q66" s="6">
        <f t="shared" ref="Q66:R66" si="45">O66/0.1/1000</f>
        <v>1.985</v>
      </c>
      <c r="R66" s="6">
        <f t="shared" si="45"/>
        <v>0.006985</v>
      </c>
      <c r="S66" s="14">
        <v>19262.0</v>
      </c>
      <c r="T66" s="10">
        <f t="shared" si="12"/>
        <v>138.7876075</v>
      </c>
      <c r="U66" s="10">
        <f t="shared" ref="U66:V66" si="46">S66/20</f>
        <v>963.1</v>
      </c>
      <c r="V66" s="10">
        <f t="shared" si="46"/>
        <v>6.939380376</v>
      </c>
      <c r="X66" s="3" t="str">
        <f t="shared" si="14"/>
        <v>198,5 \pm 0,7 &amp; 1,985 \pm 0,007 &amp; 19262 \pm 139 &amp; 963 \pm 7 \\</v>
      </c>
    </row>
    <row r="67">
      <c r="A67" s="1">
        <v>313.1</v>
      </c>
      <c r="B67" s="3">
        <f t="shared" si="8"/>
        <v>3.131</v>
      </c>
      <c r="C67" s="1">
        <v>22025.0</v>
      </c>
      <c r="D67" s="3">
        <f t="shared" si="9"/>
        <v>1101.25</v>
      </c>
      <c r="O67" s="12">
        <v>313.1</v>
      </c>
      <c r="P67" s="11">
        <f t="shared" si="10"/>
        <v>0.8131</v>
      </c>
      <c r="Q67" s="6">
        <f t="shared" ref="Q67:R67" si="47">O67/0.1/1000</f>
        <v>3.131</v>
      </c>
      <c r="R67" s="6">
        <f t="shared" si="47"/>
        <v>0.008131</v>
      </c>
      <c r="S67" s="14">
        <v>22025.0</v>
      </c>
      <c r="T67" s="10">
        <f t="shared" si="12"/>
        <v>148.4082208</v>
      </c>
      <c r="U67" s="10">
        <f t="shared" ref="U67:V67" si="48">S67/20</f>
        <v>1101.25</v>
      </c>
      <c r="V67" s="10">
        <f t="shared" si="48"/>
        <v>7.42041104</v>
      </c>
      <c r="X67" s="3" t="str">
        <f t="shared" si="14"/>
        <v>313,1 \pm 0,8 &amp; 3,131 \pm 0,008 &amp; 22025 \pm 148 &amp; 1101 \pm 7 \\</v>
      </c>
    </row>
    <row r="68">
      <c r="A68" s="1">
        <v>413.7</v>
      </c>
      <c r="B68" s="3">
        <f t="shared" si="8"/>
        <v>4.137</v>
      </c>
      <c r="C68" s="1">
        <v>23731.0</v>
      </c>
      <c r="D68" s="3">
        <f t="shared" si="9"/>
        <v>1186.55</v>
      </c>
      <c r="O68" s="12">
        <v>413.7</v>
      </c>
      <c r="P68" s="11">
        <f t="shared" si="10"/>
        <v>0.9137</v>
      </c>
      <c r="Q68" s="6">
        <f t="shared" ref="Q68:R68" si="49">O68/0.1/1000</f>
        <v>4.137</v>
      </c>
      <c r="R68" s="6">
        <f t="shared" si="49"/>
        <v>0.009137</v>
      </c>
      <c r="S68" s="14">
        <v>23731.0</v>
      </c>
      <c r="T68" s="10">
        <f t="shared" si="12"/>
        <v>154.0486936</v>
      </c>
      <c r="U68" s="10">
        <f t="shared" ref="U68:V68" si="50">S68/20</f>
        <v>1186.55</v>
      </c>
      <c r="V68" s="10">
        <f t="shared" si="50"/>
        <v>7.70243468</v>
      </c>
      <c r="X68" s="3" t="str">
        <f t="shared" si="14"/>
        <v>413,7 \pm 0,9 &amp; 4,137 \pm 0,009 &amp; 23731 \pm 154 &amp; 1187 \pm 8 \\</v>
      </c>
    </row>
    <row r="69">
      <c r="A69" s="1">
        <v>514.5</v>
      </c>
      <c r="B69" s="3">
        <f t="shared" si="8"/>
        <v>5.145</v>
      </c>
      <c r="C69" s="1">
        <v>24504.0</v>
      </c>
      <c r="D69" s="3">
        <f t="shared" si="9"/>
        <v>1225.2</v>
      </c>
      <c r="O69" s="12">
        <v>514.5</v>
      </c>
      <c r="P69" s="11">
        <f t="shared" si="10"/>
        <v>1.0145</v>
      </c>
      <c r="Q69" s="4">
        <f t="shared" ref="Q69:R69" si="51">O69/0.1/1000</f>
        <v>5.145</v>
      </c>
      <c r="R69" s="4">
        <f t="shared" si="51"/>
        <v>0.010145</v>
      </c>
      <c r="S69" s="14">
        <v>24504.0</v>
      </c>
      <c r="T69" s="10">
        <f t="shared" si="12"/>
        <v>156.5375354</v>
      </c>
      <c r="U69" s="10">
        <f t="shared" ref="U69:V69" si="52">S69/20</f>
        <v>1225.2</v>
      </c>
      <c r="V69" s="10">
        <f t="shared" si="52"/>
        <v>7.826876772</v>
      </c>
      <c r="X69" s="3" t="str">
        <f t="shared" ref="X69:X84" si="55">CONCATENATE(TEXT(O69,"###"), " \pm " , TEXT(P69,"#") , " &amp; ", TEXT(Q69, "#0.00") , " \pm " , TEXT(R69,"0.00") , " &amp; " , TEXT(S69, "#####"), " \pm ", TEXT(T69, "###") , " &amp; ", TEXT(U69,"####") , " \pm ", TEXT(V69,"#"), " \\")</f>
        <v>515 \pm 1 &amp; 5,15 \pm 0,01 &amp; 24504 \pm 157 &amp; 1225 \pm 8 \\</v>
      </c>
    </row>
    <row r="70">
      <c r="A70" s="1">
        <v>608.5</v>
      </c>
      <c r="B70" s="3">
        <f t="shared" si="8"/>
        <v>6.085</v>
      </c>
      <c r="C70" s="1">
        <v>25551.0</v>
      </c>
      <c r="D70" s="3">
        <f t="shared" si="9"/>
        <v>1277.55</v>
      </c>
      <c r="O70" s="12">
        <v>608.5</v>
      </c>
      <c r="P70" s="11">
        <f t="shared" si="10"/>
        <v>1.1085</v>
      </c>
      <c r="Q70" s="4">
        <f t="shared" ref="Q70:R70" si="53">O70/0.1/1000</f>
        <v>6.085</v>
      </c>
      <c r="R70" s="4">
        <f t="shared" si="53"/>
        <v>0.011085</v>
      </c>
      <c r="S70" s="14">
        <v>25551.0</v>
      </c>
      <c r="T70" s="10">
        <f t="shared" si="12"/>
        <v>159.8468017</v>
      </c>
      <c r="U70" s="10">
        <f t="shared" ref="U70:V70" si="54">S70/20</f>
        <v>1277.55</v>
      </c>
      <c r="V70" s="10">
        <f t="shared" si="54"/>
        <v>7.992340083</v>
      </c>
      <c r="X70" s="3" t="str">
        <f t="shared" si="55"/>
        <v>609 \pm 1 &amp; 6,09 \pm 0,01 &amp; 25551 \pm 160 &amp; 1278 \pm 8 \\</v>
      </c>
    </row>
    <row r="71">
      <c r="A71" s="1">
        <v>710.8</v>
      </c>
      <c r="B71" s="3">
        <f t="shared" si="8"/>
        <v>7.108</v>
      </c>
      <c r="C71" s="1">
        <v>26258.0</v>
      </c>
      <c r="D71" s="3">
        <f t="shared" si="9"/>
        <v>1312.9</v>
      </c>
      <c r="O71" s="12">
        <v>710.8</v>
      </c>
      <c r="P71" s="11">
        <f t="shared" si="10"/>
        <v>1.2108</v>
      </c>
      <c r="Q71" s="4">
        <f t="shared" ref="Q71:R71" si="56">O71/0.1/1000</f>
        <v>7.108</v>
      </c>
      <c r="R71" s="4">
        <f t="shared" si="56"/>
        <v>0.012108</v>
      </c>
      <c r="S71" s="14">
        <v>26258.0</v>
      </c>
      <c r="T71" s="10">
        <f t="shared" si="12"/>
        <v>162.0432041</v>
      </c>
      <c r="U71" s="10">
        <f t="shared" ref="U71:V71" si="57">S71/20</f>
        <v>1312.9</v>
      </c>
      <c r="V71" s="10">
        <f t="shared" si="57"/>
        <v>8.102160206</v>
      </c>
      <c r="X71" s="3" t="str">
        <f t="shared" si="55"/>
        <v>711 \pm 1 &amp; 7,11 \pm 0,01 &amp; 26258 \pm 162 &amp; 1313 \pm 8 \\</v>
      </c>
    </row>
    <row r="72">
      <c r="A72" s="1">
        <v>804.9</v>
      </c>
      <c r="B72" s="3">
        <f t="shared" si="8"/>
        <v>8.049</v>
      </c>
      <c r="C72" s="1">
        <v>27237.0</v>
      </c>
      <c r="D72" s="3">
        <f t="shared" si="9"/>
        <v>1361.85</v>
      </c>
      <c r="O72" s="12">
        <v>804.9</v>
      </c>
      <c r="P72" s="11">
        <f t="shared" si="10"/>
        <v>1.3049</v>
      </c>
      <c r="Q72" s="4">
        <f t="shared" ref="Q72:R72" si="58">O72/0.1/1000</f>
        <v>8.049</v>
      </c>
      <c r="R72" s="4">
        <f t="shared" si="58"/>
        <v>0.013049</v>
      </c>
      <c r="S72" s="14">
        <v>27237.0</v>
      </c>
      <c r="T72" s="10">
        <f t="shared" si="12"/>
        <v>165.0363596</v>
      </c>
      <c r="U72" s="10">
        <f t="shared" ref="U72:V72" si="59">S72/20</f>
        <v>1361.85</v>
      </c>
      <c r="V72" s="10">
        <f t="shared" si="59"/>
        <v>8.251817982</v>
      </c>
      <c r="X72" s="3" t="str">
        <f t="shared" si="55"/>
        <v>805 \pm 1 &amp; 8,05 \pm 0,01 &amp; 27237 \pm 165 &amp; 1362 \pm 8 \\</v>
      </c>
    </row>
    <row r="73">
      <c r="A73" s="1">
        <v>901.7</v>
      </c>
      <c r="B73" s="3">
        <f t="shared" si="8"/>
        <v>9.017</v>
      </c>
      <c r="C73" s="1">
        <v>27722.0</v>
      </c>
      <c r="D73" s="3">
        <f t="shared" si="9"/>
        <v>1386.1</v>
      </c>
      <c r="O73" s="12">
        <v>901.7</v>
      </c>
      <c r="P73" s="11">
        <f t="shared" si="10"/>
        <v>1.4017</v>
      </c>
      <c r="Q73" s="4">
        <f t="shared" ref="Q73:R73" si="60">O73/0.1/1000</f>
        <v>9.017</v>
      </c>
      <c r="R73" s="4">
        <f t="shared" si="60"/>
        <v>0.014017</v>
      </c>
      <c r="S73" s="14">
        <v>27722.0</v>
      </c>
      <c r="T73" s="10">
        <f t="shared" si="12"/>
        <v>166.4992492</v>
      </c>
      <c r="U73" s="10">
        <f t="shared" ref="U73:V73" si="61">S73/20</f>
        <v>1386.1</v>
      </c>
      <c r="V73" s="10">
        <f t="shared" si="61"/>
        <v>8.324962462</v>
      </c>
      <c r="X73" s="3" t="str">
        <f t="shared" si="55"/>
        <v>902 \pm 1 &amp; 9,02 \pm 0,01 &amp; 27722 \pm 166 &amp; 1386 \pm 8 \\</v>
      </c>
    </row>
    <row r="74">
      <c r="A74" s="1">
        <v>1065.0</v>
      </c>
      <c r="B74" s="3">
        <f t="shared" si="8"/>
        <v>10.65</v>
      </c>
      <c r="C74" s="1">
        <v>29100.0</v>
      </c>
      <c r="D74" s="3">
        <f t="shared" si="9"/>
        <v>1455</v>
      </c>
      <c r="O74" s="14">
        <v>1065.0</v>
      </c>
      <c r="P74" s="10">
        <f t="shared" ref="P74:P84" si="64">(0.1/100)*O74+5</f>
        <v>6.065</v>
      </c>
      <c r="Q74" s="4">
        <f t="shared" ref="Q74:R74" si="62">O74/0.1/1000</f>
        <v>10.65</v>
      </c>
      <c r="R74" s="4">
        <f t="shared" si="62"/>
        <v>0.06065</v>
      </c>
      <c r="S74" s="14">
        <v>29100.0</v>
      </c>
      <c r="T74" s="10">
        <f t="shared" si="12"/>
        <v>170.5872211</v>
      </c>
      <c r="U74" s="10">
        <f t="shared" ref="U74:V74" si="63">S74/20</f>
        <v>1455</v>
      </c>
      <c r="V74" s="10">
        <f t="shared" si="63"/>
        <v>8.529361055</v>
      </c>
      <c r="X74" s="3" t="str">
        <f t="shared" si="55"/>
        <v>1065 \pm 6 &amp; 10,65 \pm 0,06 &amp; 29100 \pm 171 &amp; 1455 \pm 9 \\</v>
      </c>
    </row>
    <row r="75">
      <c r="A75" s="1">
        <v>1110.0</v>
      </c>
      <c r="B75" s="3">
        <f t="shared" si="8"/>
        <v>11.1</v>
      </c>
      <c r="C75" s="1">
        <v>29399.0</v>
      </c>
      <c r="D75" s="3">
        <f t="shared" si="9"/>
        <v>1469.95</v>
      </c>
      <c r="O75" s="14">
        <v>1110.0</v>
      </c>
      <c r="P75" s="10">
        <f t="shared" si="64"/>
        <v>6.11</v>
      </c>
      <c r="Q75" s="4">
        <f t="shared" ref="Q75:R75" si="65">O75/0.1/1000</f>
        <v>11.1</v>
      </c>
      <c r="R75" s="4">
        <f t="shared" si="65"/>
        <v>0.0611</v>
      </c>
      <c r="S75" s="14">
        <v>29399.0</v>
      </c>
      <c r="T75" s="10">
        <f t="shared" si="12"/>
        <v>171.4613659</v>
      </c>
      <c r="U75" s="10">
        <f t="shared" ref="U75:V75" si="66">S75/20</f>
        <v>1469.95</v>
      </c>
      <c r="V75" s="10">
        <f t="shared" si="66"/>
        <v>8.573068296</v>
      </c>
      <c r="X75" s="3" t="str">
        <f t="shared" si="55"/>
        <v>1110 \pm 6 &amp; 11,10 \pm 0,06 &amp; 29399 \pm 171 &amp; 1470 \pm 9 \\</v>
      </c>
    </row>
    <row r="76">
      <c r="A76" s="1">
        <v>1200.0</v>
      </c>
      <c r="B76" s="3">
        <f t="shared" si="8"/>
        <v>12</v>
      </c>
      <c r="C76" s="1">
        <v>30154.0</v>
      </c>
      <c r="D76" s="3">
        <f t="shared" si="9"/>
        <v>1507.7</v>
      </c>
      <c r="O76" s="14">
        <v>1200.0</v>
      </c>
      <c r="P76" s="10">
        <f t="shared" si="64"/>
        <v>6.2</v>
      </c>
      <c r="Q76" s="4">
        <f t="shared" ref="Q76:R76" si="67">O76/0.1/1000</f>
        <v>12</v>
      </c>
      <c r="R76" s="4">
        <f t="shared" si="67"/>
        <v>0.062</v>
      </c>
      <c r="S76" s="14">
        <v>30154.0</v>
      </c>
      <c r="T76" s="10">
        <f t="shared" si="12"/>
        <v>173.6490714</v>
      </c>
      <c r="U76" s="10">
        <f t="shared" ref="U76:V76" si="68">S76/20</f>
        <v>1507.7</v>
      </c>
      <c r="V76" s="10">
        <f t="shared" si="68"/>
        <v>8.68245357</v>
      </c>
      <c r="X76" s="3" t="str">
        <f t="shared" si="55"/>
        <v>1200 \pm 6 &amp; 12,00 \pm 0,06 &amp; 30154 \pm 174 &amp; 1508 \pm 9 \\</v>
      </c>
    </row>
    <row r="77">
      <c r="A77" s="1">
        <v>1301.0</v>
      </c>
      <c r="B77" s="3">
        <f t="shared" si="8"/>
        <v>13.01</v>
      </c>
      <c r="C77" s="1">
        <v>30720.0</v>
      </c>
      <c r="D77" s="3">
        <f t="shared" si="9"/>
        <v>1536</v>
      </c>
      <c r="O77" s="14">
        <v>1301.0</v>
      </c>
      <c r="P77" s="10">
        <f t="shared" si="64"/>
        <v>6.301</v>
      </c>
      <c r="Q77" s="4">
        <f t="shared" ref="Q77:R77" si="69">O77/0.1/1000</f>
        <v>13.01</v>
      </c>
      <c r="R77" s="4">
        <f t="shared" si="69"/>
        <v>0.06301</v>
      </c>
      <c r="S77" s="14">
        <v>30720.0</v>
      </c>
      <c r="T77" s="10">
        <f t="shared" si="12"/>
        <v>175.2712184</v>
      </c>
      <c r="U77" s="10">
        <f t="shared" ref="U77:V77" si="70">S77/20</f>
        <v>1536</v>
      </c>
      <c r="V77" s="10">
        <f t="shared" si="70"/>
        <v>8.76356092</v>
      </c>
      <c r="X77" s="3" t="str">
        <f t="shared" si="55"/>
        <v>1301 \pm 6 &amp; 13,01 \pm 0,06 &amp; 30720 \pm 175 &amp; 1536 \pm 9 \\</v>
      </c>
    </row>
    <row r="78">
      <c r="A78" s="1">
        <v>1399.0</v>
      </c>
      <c r="B78" s="3">
        <f t="shared" si="8"/>
        <v>13.99</v>
      </c>
      <c r="C78" s="1">
        <v>31693.0</v>
      </c>
      <c r="D78" s="3">
        <f t="shared" si="9"/>
        <v>1584.65</v>
      </c>
      <c r="O78" s="14">
        <v>1399.0</v>
      </c>
      <c r="P78" s="10">
        <f t="shared" si="64"/>
        <v>6.399</v>
      </c>
      <c r="Q78" s="4">
        <f t="shared" ref="Q78:R78" si="71">O78/0.1/1000</f>
        <v>13.99</v>
      </c>
      <c r="R78" s="4">
        <f t="shared" si="71"/>
        <v>0.06399</v>
      </c>
      <c r="S78" s="14">
        <v>31693.0</v>
      </c>
      <c r="T78" s="10">
        <f t="shared" si="12"/>
        <v>178.0252791</v>
      </c>
      <c r="U78" s="10">
        <f t="shared" ref="U78:V78" si="72">S78/20</f>
        <v>1584.65</v>
      </c>
      <c r="V78" s="10">
        <f t="shared" si="72"/>
        <v>8.901263955</v>
      </c>
      <c r="X78" s="3" t="str">
        <f t="shared" si="55"/>
        <v>1399 \pm 6 &amp; 13,99 \pm 0,06 &amp; 31693 \pm 178 &amp; 1585 \pm 9 \\</v>
      </c>
    </row>
    <row r="79">
      <c r="A79" s="1">
        <v>1506.0</v>
      </c>
      <c r="B79" s="3">
        <f t="shared" si="8"/>
        <v>15.06</v>
      </c>
      <c r="C79" s="1">
        <v>32368.0</v>
      </c>
      <c r="D79" s="3">
        <f t="shared" si="9"/>
        <v>1618.4</v>
      </c>
      <c r="O79" s="14">
        <v>1506.0</v>
      </c>
      <c r="P79" s="10">
        <f t="shared" si="64"/>
        <v>6.506</v>
      </c>
      <c r="Q79" s="4">
        <f t="shared" ref="Q79:R79" si="73">O79/0.1/1000</f>
        <v>15.06</v>
      </c>
      <c r="R79" s="4">
        <f t="shared" si="73"/>
        <v>0.06506</v>
      </c>
      <c r="S79" s="14">
        <v>32368.0</v>
      </c>
      <c r="T79" s="10">
        <f t="shared" si="12"/>
        <v>179.9110892</v>
      </c>
      <c r="U79" s="10">
        <f t="shared" ref="U79:V79" si="74">S79/20</f>
        <v>1618.4</v>
      </c>
      <c r="V79" s="10">
        <f t="shared" si="74"/>
        <v>8.995554458</v>
      </c>
      <c r="X79" s="3" t="str">
        <f t="shared" si="55"/>
        <v>1506 \pm 7 &amp; 15,06 \pm 0,07 &amp; 32368 \pm 180 &amp; 1618 \pm 9 \\</v>
      </c>
    </row>
    <row r="80">
      <c r="A80" s="1">
        <v>1610.0</v>
      </c>
      <c r="B80" s="3">
        <f t="shared" si="8"/>
        <v>16.1</v>
      </c>
      <c r="C80" s="1">
        <v>32926.0</v>
      </c>
      <c r="D80" s="3">
        <f t="shared" si="9"/>
        <v>1646.3</v>
      </c>
      <c r="O80" s="14">
        <v>1610.0</v>
      </c>
      <c r="P80" s="10">
        <f t="shared" si="64"/>
        <v>6.61</v>
      </c>
      <c r="Q80" s="4">
        <f t="shared" ref="Q80:R80" si="75">O80/0.1/1000</f>
        <v>16.1</v>
      </c>
      <c r="R80" s="4">
        <f t="shared" si="75"/>
        <v>0.0661</v>
      </c>
      <c r="S80" s="14">
        <v>32926.0</v>
      </c>
      <c r="T80" s="10">
        <f t="shared" si="12"/>
        <v>181.4552286</v>
      </c>
      <c r="U80" s="10">
        <f t="shared" ref="U80:V80" si="76">S80/20</f>
        <v>1646.3</v>
      </c>
      <c r="V80" s="10">
        <f t="shared" si="76"/>
        <v>9.072761432</v>
      </c>
      <c r="X80" s="3" t="str">
        <f t="shared" si="55"/>
        <v>1610 \pm 7 &amp; 16,10 \pm 0,07 &amp; 32926 \pm 181 &amp; 1646 \pm 9 \\</v>
      </c>
    </row>
    <row r="81">
      <c r="A81" s="1">
        <v>1697.0</v>
      </c>
      <c r="B81" s="3">
        <f t="shared" si="8"/>
        <v>16.97</v>
      </c>
      <c r="C81" s="1">
        <v>33835.0</v>
      </c>
      <c r="D81" s="3">
        <f t="shared" si="9"/>
        <v>1691.75</v>
      </c>
      <c r="O81" s="14">
        <v>1697.0</v>
      </c>
      <c r="P81" s="10">
        <f t="shared" si="64"/>
        <v>6.697</v>
      </c>
      <c r="Q81" s="4">
        <f t="shared" ref="Q81:R81" si="77">O81/0.1/1000</f>
        <v>16.97</v>
      </c>
      <c r="R81" s="4">
        <f t="shared" si="77"/>
        <v>0.06697</v>
      </c>
      <c r="S81" s="14">
        <v>33835.0</v>
      </c>
      <c r="T81" s="10">
        <f t="shared" si="12"/>
        <v>183.9429259</v>
      </c>
      <c r="U81" s="10">
        <f t="shared" ref="U81:V81" si="78">S81/20</f>
        <v>1691.75</v>
      </c>
      <c r="V81" s="10">
        <f t="shared" si="78"/>
        <v>9.197146297</v>
      </c>
      <c r="X81" s="3" t="str">
        <f t="shared" si="55"/>
        <v>1697 \pm 7 &amp; 16,97 \pm 0,07 &amp; 33835 \pm 184 &amp; 1692 \pm 9 \\</v>
      </c>
    </row>
    <row r="82">
      <c r="A82" s="1">
        <v>1797.0</v>
      </c>
      <c r="B82" s="3">
        <f t="shared" si="8"/>
        <v>17.97</v>
      </c>
      <c r="C82" s="1">
        <v>34534.0</v>
      </c>
      <c r="D82" s="3">
        <f t="shared" si="9"/>
        <v>1726.7</v>
      </c>
      <c r="O82" s="14">
        <v>1797.0</v>
      </c>
      <c r="P82" s="10">
        <f t="shared" si="64"/>
        <v>6.797</v>
      </c>
      <c r="Q82" s="4">
        <f t="shared" ref="Q82:R82" si="79">O82/0.1/1000</f>
        <v>17.97</v>
      </c>
      <c r="R82" s="4">
        <f t="shared" si="79"/>
        <v>0.06797</v>
      </c>
      <c r="S82" s="14">
        <v>34534.0</v>
      </c>
      <c r="T82" s="10">
        <f t="shared" si="12"/>
        <v>185.8332586</v>
      </c>
      <c r="U82" s="10">
        <f t="shared" ref="U82:V82" si="80">S82/20</f>
        <v>1726.7</v>
      </c>
      <c r="V82" s="10">
        <f t="shared" si="80"/>
        <v>9.29166293</v>
      </c>
      <c r="X82" s="3" t="str">
        <f t="shared" si="55"/>
        <v>1797 \pm 7 &amp; 17,97 \pm 0,07 &amp; 34534 \pm 186 &amp; 1727 \pm 9 \\</v>
      </c>
    </row>
    <row r="83">
      <c r="A83" s="1">
        <v>1898.0</v>
      </c>
      <c r="B83" s="3">
        <f t="shared" si="8"/>
        <v>18.98</v>
      </c>
      <c r="C83" s="1">
        <v>35129.0</v>
      </c>
      <c r="D83" s="3">
        <f t="shared" si="9"/>
        <v>1756.45</v>
      </c>
      <c r="O83" s="14">
        <v>1898.0</v>
      </c>
      <c r="P83" s="10">
        <f t="shared" si="64"/>
        <v>6.898</v>
      </c>
      <c r="Q83" s="4">
        <f t="shared" ref="Q83:R83" si="81">O83/0.1/1000</f>
        <v>18.98</v>
      </c>
      <c r="R83" s="4">
        <f t="shared" si="81"/>
        <v>0.06898</v>
      </c>
      <c r="S83" s="14">
        <v>35129.0</v>
      </c>
      <c r="T83" s="10">
        <f t="shared" si="12"/>
        <v>187.4273192</v>
      </c>
      <c r="U83" s="10">
        <f t="shared" ref="U83:V83" si="82">S83/20</f>
        <v>1756.45</v>
      </c>
      <c r="V83" s="10">
        <f t="shared" si="82"/>
        <v>9.371365962</v>
      </c>
      <c r="X83" s="3" t="str">
        <f t="shared" si="55"/>
        <v>1898 \pm 7 &amp; 18,98 \pm 0,07 &amp; 35129 \pm 187 &amp; 1756 \pm 9 \\</v>
      </c>
    </row>
    <row r="84">
      <c r="A84" s="1">
        <v>1999.0</v>
      </c>
      <c r="B84" s="3">
        <f t="shared" si="8"/>
        <v>19.99</v>
      </c>
      <c r="C84" s="1">
        <v>35830.0</v>
      </c>
      <c r="D84" s="3">
        <f t="shared" si="9"/>
        <v>1791.5</v>
      </c>
      <c r="O84" s="14">
        <v>1999.0</v>
      </c>
      <c r="P84" s="10">
        <f t="shared" si="64"/>
        <v>6.999</v>
      </c>
      <c r="Q84" s="4">
        <f t="shared" ref="Q84:R84" si="83">O84/0.1/1000</f>
        <v>19.99</v>
      </c>
      <c r="R84" s="4">
        <f t="shared" si="83"/>
        <v>0.06999</v>
      </c>
      <c r="S84" s="14">
        <v>35830.0</v>
      </c>
      <c r="T84" s="10">
        <f t="shared" si="12"/>
        <v>189.2881401</v>
      </c>
      <c r="U84" s="10">
        <f t="shared" ref="U84:V84" si="84">S84/20</f>
        <v>1791.5</v>
      </c>
      <c r="V84" s="10">
        <f t="shared" si="84"/>
        <v>9.464407007</v>
      </c>
      <c r="X84" s="3" t="str">
        <f t="shared" si="55"/>
        <v>1999 \pm 7 &amp; 19,99 \pm 0,07 &amp; 35830 \pm 189 &amp; 1792 \pm 9 \\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  <col customWidth="1" min="3" max="3" width="20.38"/>
  </cols>
  <sheetData>
    <row r="1">
      <c r="A1" s="1" t="s">
        <v>0</v>
      </c>
      <c r="B1" s="1"/>
      <c r="C1" s="1"/>
      <c r="D1" s="1"/>
      <c r="E1" s="1"/>
      <c r="F1" s="1"/>
      <c r="G1" s="1"/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>
      <c r="A3" s="1">
        <v>82.0</v>
      </c>
      <c r="B3" s="1">
        <v>432.0</v>
      </c>
      <c r="C3" s="1">
        <v>20.0</v>
      </c>
      <c r="D3" s="1">
        <v>55.0</v>
      </c>
      <c r="E3" s="2">
        <v>0.55</v>
      </c>
      <c r="F3" s="1">
        <f>E3/0.1/1000</f>
        <v>0.0055</v>
      </c>
      <c r="G3" s="1">
        <f>F3/C3</f>
        <v>0.000275</v>
      </c>
    </row>
    <row r="6">
      <c r="A6" s="1" t="s">
        <v>8</v>
      </c>
      <c r="B6" s="1" t="s">
        <v>3</v>
      </c>
      <c r="C6" s="1" t="s">
        <v>6</v>
      </c>
      <c r="D6" s="1" t="s">
        <v>7</v>
      </c>
      <c r="E6" s="1" t="s">
        <v>9</v>
      </c>
      <c r="N6" s="1" t="s">
        <v>8</v>
      </c>
      <c r="O6" s="1" t="s">
        <v>3</v>
      </c>
      <c r="P6" s="1" t="s">
        <v>6</v>
      </c>
      <c r="R6" s="1" t="s">
        <v>7</v>
      </c>
    </row>
    <row r="7">
      <c r="A7" s="1">
        <v>0.1</v>
      </c>
      <c r="B7" s="1">
        <v>20.0</v>
      </c>
      <c r="C7" s="1">
        <v>5840.0</v>
      </c>
      <c r="D7" s="3">
        <f t="shared" ref="D7:D24" si="1">C7/B7</f>
        <v>292</v>
      </c>
      <c r="E7" s="3">
        <f t="shared" ref="E7:E24" si="2">ln(D7)</f>
        <v>5.676753802</v>
      </c>
      <c r="N7" s="1">
        <v>0.1</v>
      </c>
      <c r="O7" s="1">
        <v>20.0</v>
      </c>
      <c r="P7" s="1">
        <v>5840.0</v>
      </c>
      <c r="Q7" s="3">
        <f t="shared" ref="Q7:Q24" si="3">SQRT(P7)</f>
        <v>76.4198927</v>
      </c>
      <c r="R7" s="4">
        <f t="shared" ref="R7:R24" si="4">P7/O7</f>
        <v>292</v>
      </c>
      <c r="S7" s="4">
        <f t="shared" ref="S7:S24" si="5">SQRT( (Q7/P7)^2 + (0.001/O7)^2)</f>
        <v>0.01308569359</v>
      </c>
      <c r="U7" s="3" t="str">
        <f t="shared" ref="U7:U24" si="6">CONCATENATE(TEXT(N7,"0.00"), " &amp; ", TEXT(O7, "#"), " &amp; ", TEXT(P7, "#"), " &amp; ", TEXT(R7, "0.00"), " \pm ", TEXT(S7, "0.00"), " \\")</f>
        <v>0,10 &amp; 20 &amp; 5840 &amp; 292,00 \pm 0,01 \\</v>
      </c>
    </row>
    <row r="8">
      <c r="A8" s="1">
        <v>0.25</v>
      </c>
      <c r="B8" s="1">
        <v>20.0</v>
      </c>
      <c r="C8" s="1">
        <v>1771.0</v>
      </c>
      <c r="D8" s="3">
        <f t="shared" si="1"/>
        <v>88.55</v>
      </c>
      <c r="E8" s="3">
        <f t="shared" si="2"/>
        <v>4.483567364</v>
      </c>
      <c r="N8" s="1">
        <v>0.25</v>
      </c>
      <c r="O8" s="1">
        <v>20.0</v>
      </c>
      <c r="P8" s="1">
        <v>1771.0</v>
      </c>
      <c r="Q8" s="3">
        <f t="shared" si="3"/>
        <v>42.08325083</v>
      </c>
      <c r="R8" s="4">
        <f t="shared" si="4"/>
        <v>88.55</v>
      </c>
      <c r="S8" s="4">
        <f t="shared" si="5"/>
        <v>0.02376247543</v>
      </c>
      <c r="U8" s="3" t="str">
        <f t="shared" si="6"/>
        <v>0,25 &amp; 20 &amp; 1771 &amp; 88,55 \pm 0,02 \\</v>
      </c>
    </row>
    <row r="9">
      <c r="A9" s="1">
        <v>0.35</v>
      </c>
      <c r="B9" s="1">
        <v>20.0</v>
      </c>
      <c r="C9" s="1">
        <v>958.0</v>
      </c>
      <c r="D9" s="3">
        <f t="shared" si="1"/>
        <v>47.9</v>
      </c>
      <c r="E9" s="3">
        <f t="shared" si="2"/>
        <v>3.869115504</v>
      </c>
      <c r="N9" s="1">
        <v>0.35</v>
      </c>
      <c r="O9" s="1">
        <v>20.0</v>
      </c>
      <c r="P9" s="1">
        <v>958.0</v>
      </c>
      <c r="Q9" s="3">
        <f t="shared" si="3"/>
        <v>30.95157508</v>
      </c>
      <c r="R9" s="4">
        <f t="shared" si="4"/>
        <v>47.9</v>
      </c>
      <c r="S9" s="4">
        <f t="shared" si="5"/>
        <v>0.03230857218</v>
      </c>
      <c r="U9" s="3" t="str">
        <f t="shared" si="6"/>
        <v>0,35 &amp; 20 &amp; 958 &amp; 47,90 \pm 0,03 \\</v>
      </c>
    </row>
    <row r="10">
      <c r="A10" s="5">
        <v>0.5</v>
      </c>
      <c r="B10" s="1">
        <v>20.0</v>
      </c>
      <c r="C10" s="1">
        <v>652.0</v>
      </c>
      <c r="D10" s="3">
        <f t="shared" si="1"/>
        <v>32.6</v>
      </c>
      <c r="E10" s="3">
        <f t="shared" si="2"/>
        <v>3.484312288</v>
      </c>
      <c r="N10" s="5">
        <v>0.5</v>
      </c>
      <c r="O10" s="1">
        <v>20.0</v>
      </c>
      <c r="P10" s="1">
        <v>652.0</v>
      </c>
      <c r="Q10" s="3">
        <f t="shared" si="3"/>
        <v>25.53429067</v>
      </c>
      <c r="R10" s="4">
        <f t="shared" si="4"/>
        <v>32.6</v>
      </c>
      <c r="S10" s="4">
        <f t="shared" si="5"/>
        <v>0.03916305442</v>
      </c>
      <c r="U10" s="3" t="str">
        <f t="shared" si="6"/>
        <v>0,50 &amp; 20 &amp; 652 &amp; 32,60 \pm 0,04 \\</v>
      </c>
    </row>
    <row r="11">
      <c r="A11" s="5">
        <v>0.6</v>
      </c>
      <c r="B11" s="1">
        <v>20.0</v>
      </c>
      <c r="C11" s="1">
        <v>536.0</v>
      </c>
      <c r="D11" s="3">
        <f t="shared" si="1"/>
        <v>26.8</v>
      </c>
      <c r="E11" s="3">
        <f t="shared" si="2"/>
        <v>3.288401888</v>
      </c>
      <c r="N11" s="5">
        <v>0.6</v>
      </c>
      <c r="O11" s="1">
        <v>20.0</v>
      </c>
      <c r="P11" s="1">
        <v>536.0</v>
      </c>
      <c r="Q11" s="3">
        <f t="shared" si="3"/>
        <v>23.15167381</v>
      </c>
      <c r="R11" s="4">
        <f t="shared" si="4"/>
        <v>26.8</v>
      </c>
      <c r="S11" s="4">
        <f t="shared" si="5"/>
        <v>0.04319345022</v>
      </c>
      <c r="U11" s="3" t="str">
        <f t="shared" si="6"/>
        <v>0,60 &amp; 20 &amp; 536 &amp; 26,80 \pm 0,04 \\</v>
      </c>
    </row>
    <row r="12">
      <c r="A12" s="1">
        <v>0.75</v>
      </c>
      <c r="B12" s="1">
        <v>20.0</v>
      </c>
      <c r="C12" s="1">
        <v>435.0</v>
      </c>
      <c r="D12" s="3">
        <f t="shared" si="1"/>
        <v>21.75</v>
      </c>
      <c r="E12" s="3">
        <f t="shared" si="2"/>
        <v>3.079613758</v>
      </c>
      <c r="N12" s="1">
        <v>0.75</v>
      </c>
      <c r="O12" s="1">
        <v>20.0</v>
      </c>
      <c r="P12" s="1">
        <v>435.0</v>
      </c>
      <c r="Q12" s="3">
        <f t="shared" si="3"/>
        <v>20.85665361</v>
      </c>
      <c r="R12" s="4">
        <f t="shared" si="4"/>
        <v>21.75</v>
      </c>
      <c r="S12" s="4">
        <f t="shared" si="5"/>
        <v>0.04794635622</v>
      </c>
      <c r="U12" s="3" t="str">
        <f t="shared" si="6"/>
        <v>0,75 &amp; 20 &amp; 435 &amp; 21,75 \pm 0,05 \\</v>
      </c>
    </row>
    <row r="13">
      <c r="A13" s="1">
        <v>0.85</v>
      </c>
      <c r="B13" s="1">
        <v>20.0</v>
      </c>
      <c r="C13" s="1">
        <v>291.0</v>
      </c>
      <c r="D13" s="3">
        <f t="shared" si="1"/>
        <v>14.55</v>
      </c>
      <c r="E13" s="3">
        <f t="shared" si="2"/>
        <v>2.677590994</v>
      </c>
      <c r="N13" s="1">
        <v>0.85</v>
      </c>
      <c r="O13" s="1">
        <v>20.0</v>
      </c>
      <c r="P13" s="1">
        <v>291.0</v>
      </c>
      <c r="Q13" s="3">
        <f t="shared" si="3"/>
        <v>17.05872211</v>
      </c>
      <c r="R13" s="4">
        <f t="shared" si="4"/>
        <v>14.55</v>
      </c>
      <c r="S13" s="4">
        <f t="shared" si="5"/>
        <v>0.0586210595</v>
      </c>
      <c r="U13" s="3" t="str">
        <f t="shared" si="6"/>
        <v>0,85 &amp; 20 &amp; 291 &amp; 14,55 \pm 0,06 \\</v>
      </c>
    </row>
    <row r="14">
      <c r="A14" s="1">
        <v>1.0</v>
      </c>
      <c r="B14" s="1">
        <v>20.0</v>
      </c>
      <c r="C14" s="1">
        <v>277.0</v>
      </c>
      <c r="D14" s="3">
        <f t="shared" si="1"/>
        <v>13.85</v>
      </c>
      <c r="E14" s="3">
        <f t="shared" si="2"/>
        <v>2.628285233</v>
      </c>
      <c r="N14" s="1">
        <v>1.0</v>
      </c>
      <c r="O14" s="1">
        <v>20.0</v>
      </c>
      <c r="P14" s="1">
        <v>277.0</v>
      </c>
      <c r="Q14" s="3">
        <f t="shared" si="3"/>
        <v>16.64331698</v>
      </c>
      <c r="R14" s="4">
        <f t="shared" si="4"/>
        <v>13.85</v>
      </c>
      <c r="S14" s="4">
        <f t="shared" si="5"/>
        <v>0.06008419762</v>
      </c>
      <c r="U14" s="3" t="str">
        <f t="shared" si="6"/>
        <v>1,00 &amp; 20 &amp; 277 &amp; 13,85 \pm 0,06 \\</v>
      </c>
    </row>
    <row r="15">
      <c r="A15" s="5">
        <v>1.1</v>
      </c>
      <c r="B15" s="1">
        <v>20.0</v>
      </c>
      <c r="C15" s="1">
        <v>206.0</v>
      </c>
      <c r="D15" s="3">
        <f t="shared" si="1"/>
        <v>10.3</v>
      </c>
      <c r="E15" s="3">
        <f t="shared" si="2"/>
        <v>2.332143895</v>
      </c>
      <c r="N15" s="5">
        <v>1.1</v>
      </c>
      <c r="O15" s="1">
        <v>20.0</v>
      </c>
      <c r="P15" s="1">
        <v>206.0</v>
      </c>
      <c r="Q15" s="3">
        <f t="shared" si="3"/>
        <v>14.35270009</v>
      </c>
      <c r="R15" s="4">
        <f t="shared" si="4"/>
        <v>10.3</v>
      </c>
      <c r="S15" s="4">
        <f t="shared" si="5"/>
        <v>0.06967331937</v>
      </c>
      <c r="U15" s="3" t="str">
        <f t="shared" si="6"/>
        <v>1,10 &amp; 20 &amp; 206 &amp; 10,30 \pm 0,07 \\</v>
      </c>
    </row>
    <row r="16">
      <c r="A16" s="1">
        <v>1.25</v>
      </c>
      <c r="B16" s="1">
        <v>20.0</v>
      </c>
      <c r="C16" s="1">
        <v>169.0</v>
      </c>
      <c r="D16" s="3">
        <f t="shared" si="1"/>
        <v>8.45</v>
      </c>
      <c r="E16" s="3">
        <f t="shared" si="2"/>
        <v>2.134166441</v>
      </c>
      <c r="N16" s="1">
        <v>1.25</v>
      </c>
      <c r="O16" s="1">
        <v>20.0</v>
      </c>
      <c r="P16" s="1">
        <v>169.0</v>
      </c>
      <c r="Q16" s="3">
        <f t="shared" si="3"/>
        <v>13</v>
      </c>
      <c r="R16" s="4">
        <f t="shared" si="4"/>
        <v>8.45</v>
      </c>
      <c r="S16" s="4">
        <f t="shared" si="5"/>
        <v>0.07692309317</v>
      </c>
      <c r="U16" s="3" t="str">
        <f t="shared" si="6"/>
        <v>1,25 &amp; 20 &amp; 169 &amp; 8,45 \pm 0,08 \\</v>
      </c>
    </row>
    <row r="17">
      <c r="A17" s="1">
        <v>1.35</v>
      </c>
      <c r="B17" s="1">
        <v>20.0</v>
      </c>
      <c r="C17" s="1">
        <v>131.0</v>
      </c>
      <c r="D17" s="3">
        <f t="shared" si="1"/>
        <v>6.55</v>
      </c>
      <c r="E17" s="3">
        <f t="shared" si="2"/>
        <v>1.87946505</v>
      </c>
      <c r="N17" s="1">
        <v>1.35</v>
      </c>
      <c r="O17" s="1">
        <v>20.0</v>
      </c>
      <c r="P17" s="1">
        <v>131.0</v>
      </c>
      <c r="Q17" s="3">
        <f t="shared" si="3"/>
        <v>11.44552314</v>
      </c>
      <c r="R17" s="4">
        <f t="shared" si="4"/>
        <v>6.55</v>
      </c>
      <c r="S17" s="4">
        <f t="shared" si="5"/>
        <v>0.08737041997</v>
      </c>
      <c r="U17" s="3" t="str">
        <f t="shared" si="6"/>
        <v>1,35 &amp; 20 &amp; 131 &amp; 6,55 \pm 0,09 \\</v>
      </c>
    </row>
    <row r="18">
      <c r="A18" s="5">
        <v>1.5</v>
      </c>
      <c r="B18" s="1">
        <v>20.0</v>
      </c>
      <c r="C18" s="1">
        <v>124.0</v>
      </c>
      <c r="D18" s="3">
        <f t="shared" si="1"/>
        <v>6.2</v>
      </c>
      <c r="E18" s="3">
        <f t="shared" si="2"/>
        <v>1.824549292</v>
      </c>
      <c r="N18" s="5">
        <v>1.5</v>
      </c>
      <c r="O18" s="1">
        <v>20.0</v>
      </c>
      <c r="P18" s="1">
        <v>124.0</v>
      </c>
      <c r="Q18" s="3">
        <f t="shared" si="3"/>
        <v>11.13552873</v>
      </c>
      <c r="R18" s="4">
        <f t="shared" si="4"/>
        <v>6.2</v>
      </c>
      <c r="S18" s="4">
        <f t="shared" si="5"/>
        <v>0.08980266493</v>
      </c>
      <c r="U18" s="3" t="str">
        <f t="shared" si="6"/>
        <v>1,50 &amp; 20 &amp; 124 &amp; 6,20 \pm 0,09 \\</v>
      </c>
    </row>
    <row r="19">
      <c r="A19" s="5">
        <v>1.6</v>
      </c>
      <c r="B19" s="1">
        <v>30.0</v>
      </c>
      <c r="C19" s="1">
        <v>153.0</v>
      </c>
      <c r="D19" s="3">
        <f t="shared" si="1"/>
        <v>5.1</v>
      </c>
      <c r="E19" s="3">
        <f t="shared" si="2"/>
        <v>1.62924054</v>
      </c>
      <c r="N19" s="5">
        <v>1.6</v>
      </c>
      <c r="O19" s="1">
        <v>30.0</v>
      </c>
      <c r="P19" s="1">
        <v>153.0</v>
      </c>
      <c r="Q19" s="3">
        <f t="shared" si="3"/>
        <v>12.36931688</v>
      </c>
      <c r="R19" s="4">
        <f t="shared" si="4"/>
        <v>5.1</v>
      </c>
      <c r="S19" s="4">
        <f t="shared" si="5"/>
        <v>0.08084521522</v>
      </c>
      <c r="U19" s="3" t="str">
        <f t="shared" si="6"/>
        <v>1,60 &amp; 30 &amp; 153 &amp; 5,10 \pm 0,08 \\</v>
      </c>
    </row>
    <row r="20">
      <c r="A20" s="1">
        <v>1.75</v>
      </c>
      <c r="B20" s="1">
        <v>30.0</v>
      </c>
      <c r="C20" s="1">
        <v>137.0</v>
      </c>
      <c r="D20" s="6">
        <f t="shared" si="1"/>
        <v>4.566666667</v>
      </c>
      <c r="E20" s="3">
        <f t="shared" si="2"/>
        <v>1.518783544</v>
      </c>
      <c r="N20" s="1">
        <v>1.75</v>
      </c>
      <c r="O20" s="1">
        <v>30.0</v>
      </c>
      <c r="P20" s="1">
        <v>137.0</v>
      </c>
      <c r="Q20" s="3">
        <f t="shared" si="3"/>
        <v>11.70469991</v>
      </c>
      <c r="R20" s="4">
        <f t="shared" si="4"/>
        <v>4.566666667</v>
      </c>
      <c r="S20" s="4">
        <f t="shared" si="5"/>
        <v>0.08543577227</v>
      </c>
      <c r="U20" s="3" t="str">
        <f t="shared" si="6"/>
        <v>1,75 &amp; 30 &amp; 137 &amp; 4,57 \pm 0,09 \\</v>
      </c>
    </row>
    <row r="21">
      <c r="A21" s="1">
        <v>2.0</v>
      </c>
      <c r="B21" s="1">
        <v>30.0</v>
      </c>
      <c r="C21" s="1">
        <v>119.0</v>
      </c>
      <c r="D21" s="6">
        <f t="shared" si="1"/>
        <v>3.966666667</v>
      </c>
      <c r="E21" s="3">
        <f t="shared" si="2"/>
        <v>1.377926111</v>
      </c>
      <c r="N21" s="1">
        <v>2.0</v>
      </c>
      <c r="O21" s="1">
        <v>30.0</v>
      </c>
      <c r="P21" s="1">
        <v>119.0</v>
      </c>
      <c r="Q21" s="3">
        <f t="shared" si="3"/>
        <v>10.90871211</v>
      </c>
      <c r="R21" s="4">
        <f t="shared" si="4"/>
        <v>3.966666667</v>
      </c>
      <c r="S21" s="4">
        <f t="shared" si="5"/>
        <v>0.09166985576</v>
      </c>
      <c r="U21" s="3" t="str">
        <f t="shared" si="6"/>
        <v>2,00 &amp; 30 &amp; 119 &amp; 3,97 \pm 0,09 \\</v>
      </c>
    </row>
    <row r="22">
      <c r="A22" s="5">
        <v>2.5</v>
      </c>
      <c r="B22" s="1">
        <v>50.0</v>
      </c>
      <c r="C22" s="1">
        <v>105.0</v>
      </c>
      <c r="D22" s="3">
        <f t="shared" si="1"/>
        <v>2.1</v>
      </c>
      <c r="E22" s="3">
        <f t="shared" si="2"/>
        <v>0.7419373447</v>
      </c>
      <c r="N22" s="5">
        <v>2.5</v>
      </c>
      <c r="O22" s="1">
        <v>50.0</v>
      </c>
      <c r="P22" s="1">
        <v>105.0</v>
      </c>
      <c r="Q22" s="3">
        <f t="shared" si="3"/>
        <v>10.24695077</v>
      </c>
      <c r="R22" s="4">
        <f t="shared" si="4"/>
        <v>2.1</v>
      </c>
      <c r="S22" s="4">
        <f t="shared" si="5"/>
        <v>0.09759000934</v>
      </c>
      <c r="U22" s="3" t="str">
        <f t="shared" si="6"/>
        <v>2,50 &amp; 50 &amp; 105 &amp; 2,10 \pm 0,10 \\</v>
      </c>
    </row>
    <row r="23">
      <c r="A23" s="1">
        <v>3.0</v>
      </c>
      <c r="B23" s="1">
        <v>100.0</v>
      </c>
      <c r="C23" s="1">
        <v>132.0</v>
      </c>
      <c r="D23" s="3">
        <f t="shared" si="1"/>
        <v>1.32</v>
      </c>
      <c r="E23" s="3">
        <f t="shared" si="2"/>
        <v>0.2776317366</v>
      </c>
      <c r="N23" s="1">
        <v>3.0</v>
      </c>
      <c r="O23" s="1">
        <v>100.0</v>
      </c>
      <c r="P23" s="1">
        <v>132.0</v>
      </c>
      <c r="Q23" s="3">
        <f t="shared" si="3"/>
        <v>11.48912529</v>
      </c>
      <c r="R23" s="4">
        <f t="shared" si="4"/>
        <v>1.32</v>
      </c>
      <c r="S23" s="4">
        <f t="shared" si="5"/>
        <v>0.08703882855</v>
      </c>
      <c r="U23" s="3" t="str">
        <f t="shared" si="6"/>
        <v>3,00 &amp; 100 &amp; 132 &amp; 1,32 \pm 0,09 \\</v>
      </c>
    </row>
    <row r="24">
      <c r="A24" s="5">
        <v>3.5</v>
      </c>
      <c r="B24" s="1">
        <v>160.0</v>
      </c>
      <c r="C24" s="1">
        <v>156.0</v>
      </c>
      <c r="D24" s="3">
        <f t="shared" si="1"/>
        <v>0.975</v>
      </c>
      <c r="E24" s="3">
        <f t="shared" si="2"/>
        <v>-0.02531780798</v>
      </c>
      <c r="N24" s="5">
        <v>3.5</v>
      </c>
      <c r="O24" s="1">
        <v>160.0</v>
      </c>
      <c r="P24" s="1">
        <v>156.0</v>
      </c>
      <c r="Q24" s="3">
        <f t="shared" si="3"/>
        <v>12.489996</v>
      </c>
      <c r="R24" s="4">
        <f t="shared" si="4"/>
        <v>0.975</v>
      </c>
      <c r="S24" s="4">
        <f t="shared" si="5"/>
        <v>0.08006407715</v>
      </c>
      <c r="U24" s="3" t="str">
        <f t="shared" si="6"/>
        <v>3,50 &amp; 160 &amp; 156 &amp; 0,98 \pm 0,08 \\</v>
      </c>
    </row>
    <row r="27">
      <c r="A27" s="1" t="s">
        <v>10</v>
      </c>
    </row>
    <row r="28">
      <c r="A28" s="1" t="s">
        <v>1</v>
      </c>
      <c r="B28" s="1" t="s">
        <v>2</v>
      </c>
      <c r="C28" s="1" t="s">
        <v>4</v>
      </c>
      <c r="D28" s="1" t="s">
        <v>5</v>
      </c>
    </row>
    <row r="29">
      <c r="A29" s="1">
        <v>82.0</v>
      </c>
      <c r="B29" s="1">
        <v>432.0</v>
      </c>
      <c r="C29" s="1">
        <v>55.0</v>
      </c>
      <c r="D29" s="2">
        <v>0.55</v>
      </c>
    </row>
    <row r="32">
      <c r="A32" s="1" t="s">
        <v>8</v>
      </c>
      <c r="B32" s="1" t="s">
        <v>3</v>
      </c>
      <c r="C32" s="1" t="s">
        <v>6</v>
      </c>
      <c r="D32" s="1" t="s">
        <v>7</v>
      </c>
    </row>
    <row r="33">
      <c r="A33" s="1">
        <v>0.5</v>
      </c>
      <c r="B33" s="1">
        <v>160.0</v>
      </c>
      <c r="C33" s="1">
        <v>43.0</v>
      </c>
      <c r="D33" s="3">
        <f>C33/B33</f>
        <v>0.26875</v>
      </c>
      <c r="E33" s="3">
        <f>SQRT( (SQRT(C33)/C33)^2 + (0.001/B33)^2)</f>
        <v>0.1524985705</v>
      </c>
    </row>
    <row r="36">
      <c r="A36" s="5"/>
    </row>
    <row r="37">
      <c r="A37" s="5"/>
    </row>
    <row r="41">
      <c r="A41" s="5"/>
    </row>
    <row r="44">
      <c r="A44" s="5"/>
    </row>
    <row r="45">
      <c r="A45" s="5"/>
    </row>
    <row r="46">
      <c r="D46" s="6"/>
    </row>
    <row r="47">
      <c r="D47" s="6"/>
    </row>
    <row r="48">
      <c r="A48" s="5"/>
    </row>
    <row r="50">
      <c r="A50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</v>
      </c>
      <c r="B1" s="1" t="s">
        <v>5</v>
      </c>
      <c r="C1" s="1" t="s">
        <v>3</v>
      </c>
    </row>
    <row r="2">
      <c r="A2" s="1">
        <v>4021.0</v>
      </c>
      <c r="B2" s="2">
        <f>A2/0.1/1000</f>
        <v>40.21</v>
      </c>
      <c r="C2" s="1">
        <v>20.0</v>
      </c>
      <c r="F2" s="1" t="s">
        <v>21</v>
      </c>
      <c r="I2" s="1" t="s">
        <v>22</v>
      </c>
      <c r="L2" s="1" t="s">
        <v>23</v>
      </c>
    </row>
    <row r="3">
      <c r="F3" s="1" t="s">
        <v>24</v>
      </c>
      <c r="G3" s="3">
        <f>2*DEGREES(ASIN(1*L3/I3))</f>
        <v>31.69163884</v>
      </c>
      <c r="H3" s="3">
        <f>G3/2</f>
        <v>15.84581942</v>
      </c>
      <c r="I3" s="7">
        <v>5.64E-10</v>
      </c>
      <c r="K3" s="1" t="s">
        <v>25</v>
      </c>
      <c r="L3" s="7">
        <v>1.54E-10</v>
      </c>
    </row>
    <row r="4">
      <c r="A4" s="1" t="s">
        <v>26</v>
      </c>
      <c r="F4" s="1"/>
      <c r="I4" s="7"/>
      <c r="K4" s="1"/>
      <c r="L4" s="7"/>
    </row>
    <row r="5">
      <c r="A5" s="1" t="s">
        <v>27</v>
      </c>
      <c r="B5" s="1" t="s">
        <v>6</v>
      </c>
      <c r="C5" s="1" t="s">
        <v>7</v>
      </c>
      <c r="F5" s="1" t="s">
        <v>28</v>
      </c>
      <c r="G5" s="3">
        <f>2*DEGREES(ASIN(1*L5/I3))</f>
        <v>28.32594762</v>
      </c>
      <c r="H5" s="3">
        <f>G5/2</f>
        <v>14.16297381</v>
      </c>
      <c r="K5" s="1" t="s">
        <v>29</v>
      </c>
      <c r="L5" s="7">
        <v>1.38E-10</v>
      </c>
      <c r="R5" s="1" t="s">
        <v>27</v>
      </c>
      <c r="S5" s="1" t="s">
        <v>6</v>
      </c>
      <c r="U5" s="1" t="s">
        <v>7</v>
      </c>
    </row>
    <row r="6">
      <c r="A6" s="1">
        <v>11.0</v>
      </c>
      <c r="B6" s="1">
        <v>75.0</v>
      </c>
      <c r="C6" s="3">
        <f t="shared" ref="C6:C60" si="1">B6/C$2</f>
        <v>3.75</v>
      </c>
      <c r="R6" s="1">
        <v>11.0</v>
      </c>
      <c r="S6" s="1">
        <v>75.0</v>
      </c>
      <c r="T6" s="10">
        <f t="shared" ref="T6:T60" si="2">SQRT(S6)</f>
        <v>8.660254038</v>
      </c>
      <c r="U6" s="11">
        <f t="shared" ref="U6:U60" si="3">S6/C$2</f>
        <v>3.75</v>
      </c>
      <c r="V6" s="11">
        <f t="shared" ref="V6:V60" si="4">SQRT( (T6/S6)^2 + (0.001/20)^2)</f>
        <v>0.1154700647</v>
      </c>
      <c r="W6" s="3" t="str">
        <f t="shared" ref="W6:W11" si="5">CONCATENATE(TEXT(R6, "00.0"), " &amp; ", TEXT(S6, "#"), " &amp; ", TEXT(U6,"0.0"), " \pm ", TEXT(V6, "0.0"), " \\")</f>
        <v>11,0 &amp; 75 &amp; 3,8 \pm 0,1 \\</v>
      </c>
    </row>
    <row r="7">
      <c r="A7" s="3">
        <f t="shared" ref="A7:A21" si="6">A6+1</f>
        <v>12</v>
      </c>
      <c r="B7" s="1">
        <v>68.0</v>
      </c>
      <c r="C7" s="3">
        <f t="shared" si="1"/>
        <v>3.4</v>
      </c>
      <c r="R7" s="3">
        <f t="shared" ref="R7:R21" si="7">R6+1</f>
        <v>12</v>
      </c>
      <c r="S7" s="1">
        <v>68.0</v>
      </c>
      <c r="T7" s="10">
        <f t="shared" si="2"/>
        <v>8.246211251</v>
      </c>
      <c r="U7" s="11">
        <f t="shared" si="3"/>
        <v>3.4</v>
      </c>
      <c r="V7" s="11">
        <f t="shared" si="4"/>
        <v>0.1212678228</v>
      </c>
      <c r="W7" s="3" t="str">
        <f t="shared" si="5"/>
        <v>12,0 &amp; 68 &amp; 3,4 \pm 0,1 \\</v>
      </c>
    </row>
    <row r="8">
      <c r="A8" s="3">
        <f t="shared" si="6"/>
        <v>13</v>
      </c>
      <c r="B8" s="1">
        <v>71.0</v>
      </c>
      <c r="C8" s="3">
        <f t="shared" si="1"/>
        <v>3.55</v>
      </c>
      <c r="R8" s="3">
        <f t="shared" si="7"/>
        <v>13</v>
      </c>
      <c r="S8" s="1">
        <v>71.0</v>
      </c>
      <c r="T8" s="10">
        <f t="shared" si="2"/>
        <v>8.426149773</v>
      </c>
      <c r="U8" s="11">
        <f t="shared" si="3"/>
        <v>3.55</v>
      </c>
      <c r="V8" s="11">
        <f t="shared" si="4"/>
        <v>0.1186781764</v>
      </c>
      <c r="W8" s="3" t="str">
        <f t="shared" si="5"/>
        <v>13,0 &amp; 71 &amp; 3,6 \pm 0,1 \\</v>
      </c>
    </row>
    <row r="9">
      <c r="A9" s="3">
        <f t="shared" si="6"/>
        <v>14</v>
      </c>
      <c r="B9" s="1">
        <v>56.0</v>
      </c>
      <c r="C9" s="3">
        <f t="shared" si="1"/>
        <v>2.8</v>
      </c>
      <c r="R9" s="3">
        <f t="shared" si="7"/>
        <v>14</v>
      </c>
      <c r="S9" s="1">
        <v>56.0</v>
      </c>
      <c r="T9" s="10">
        <f t="shared" si="2"/>
        <v>7.483314774</v>
      </c>
      <c r="U9" s="11">
        <f t="shared" si="3"/>
        <v>2.8</v>
      </c>
      <c r="V9" s="11">
        <f t="shared" si="4"/>
        <v>0.1336306303</v>
      </c>
      <c r="W9" s="3" t="str">
        <f t="shared" si="5"/>
        <v>14,0 &amp; 56 &amp; 2,8 \pm 0,1 \\</v>
      </c>
    </row>
    <row r="10">
      <c r="A10" s="3">
        <f t="shared" si="6"/>
        <v>15</v>
      </c>
      <c r="B10" s="1">
        <v>64.0</v>
      </c>
      <c r="C10" s="3">
        <f t="shared" si="1"/>
        <v>3.2</v>
      </c>
      <c r="R10" s="3">
        <f t="shared" si="7"/>
        <v>15</v>
      </c>
      <c r="S10" s="1">
        <v>64.0</v>
      </c>
      <c r="T10" s="10">
        <f t="shared" si="2"/>
        <v>8</v>
      </c>
      <c r="U10" s="11">
        <f t="shared" si="3"/>
        <v>3.2</v>
      </c>
      <c r="V10" s="11">
        <f t="shared" si="4"/>
        <v>0.12500001</v>
      </c>
      <c r="W10" s="3" t="str">
        <f t="shared" si="5"/>
        <v>15,0 &amp; 64 &amp; 3,2 \pm 0,1 \\</v>
      </c>
    </row>
    <row r="11">
      <c r="A11" s="3">
        <f t="shared" si="6"/>
        <v>16</v>
      </c>
      <c r="B11" s="1">
        <v>83.0</v>
      </c>
      <c r="C11" s="3">
        <f t="shared" si="1"/>
        <v>4.15</v>
      </c>
      <c r="R11" s="3">
        <f t="shared" si="7"/>
        <v>16</v>
      </c>
      <c r="S11" s="1">
        <v>83.0</v>
      </c>
      <c r="T11" s="10">
        <f t="shared" si="2"/>
        <v>9.110433579</v>
      </c>
      <c r="U11" s="11">
        <f t="shared" si="3"/>
        <v>4.15</v>
      </c>
      <c r="V11" s="11">
        <f t="shared" si="4"/>
        <v>0.1097642714</v>
      </c>
      <c r="W11" s="3" t="str">
        <f t="shared" si="5"/>
        <v>16,0 &amp; 83 &amp; 4,2 \pm 0,1 \\</v>
      </c>
    </row>
    <row r="12">
      <c r="A12" s="3">
        <f t="shared" si="6"/>
        <v>17</v>
      </c>
      <c r="B12" s="1">
        <v>113.0</v>
      </c>
      <c r="C12" s="3">
        <f t="shared" si="1"/>
        <v>5.65</v>
      </c>
      <c r="R12" s="3">
        <f t="shared" si="7"/>
        <v>17</v>
      </c>
      <c r="S12" s="1">
        <v>113.0</v>
      </c>
      <c r="T12" s="10">
        <f t="shared" si="2"/>
        <v>10.63014581</v>
      </c>
      <c r="U12" s="4">
        <f t="shared" si="3"/>
        <v>5.65</v>
      </c>
      <c r="V12" s="4">
        <f t="shared" si="4"/>
        <v>0.09407210013</v>
      </c>
      <c r="W12" s="3" t="str">
        <f>CONCATENATE(TEXT(R12, "00.0"), " &amp; ", TEXT(S12, "#"), " &amp; ", TEXT(U12,"0.00"), " \pm ", TEXT(V12, "0.00"), " \\")</f>
        <v>17,0 &amp; 113 &amp; 5,65 \pm 0,09 \\</v>
      </c>
    </row>
    <row r="13">
      <c r="A13" s="3">
        <f t="shared" si="6"/>
        <v>18</v>
      </c>
      <c r="B13" s="1">
        <v>81.0</v>
      </c>
      <c r="C13" s="3">
        <f t="shared" si="1"/>
        <v>4.05</v>
      </c>
      <c r="R13" s="3">
        <f t="shared" si="7"/>
        <v>18</v>
      </c>
      <c r="S13" s="1">
        <v>81.0</v>
      </c>
      <c r="T13" s="10">
        <f t="shared" si="2"/>
        <v>9</v>
      </c>
      <c r="U13" s="11">
        <f t="shared" si="3"/>
        <v>4.05</v>
      </c>
      <c r="V13" s="11">
        <f t="shared" si="4"/>
        <v>0.1111111224</v>
      </c>
      <c r="W13" s="3" t="str">
        <f t="shared" ref="W13:W18" si="8">CONCATENATE(TEXT(R13, "00.0"), " &amp; ", TEXT(S13, "#"), " &amp; ", TEXT(U13,"0.0"), " \pm ", TEXT(V13, "0.0"), " \\")</f>
        <v>18,0 &amp; 81 &amp; 4,1 \pm 0,1 \\</v>
      </c>
    </row>
    <row r="14">
      <c r="A14" s="3">
        <f t="shared" si="6"/>
        <v>19</v>
      </c>
      <c r="B14" s="1">
        <v>86.0</v>
      </c>
      <c r="C14" s="3">
        <f t="shared" si="1"/>
        <v>4.3</v>
      </c>
      <c r="R14" s="3">
        <f t="shared" si="7"/>
        <v>19</v>
      </c>
      <c r="S14" s="1">
        <v>86.0</v>
      </c>
      <c r="T14" s="10">
        <f t="shared" si="2"/>
        <v>9.273618495</v>
      </c>
      <c r="U14" s="11">
        <f t="shared" si="3"/>
        <v>4.3</v>
      </c>
      <c r="V14" s="11">
        <f t="shared" si="4"/>
        <v>0.1078327848</v>
      </c>
      <c r="W14" s="3" t="str">
        <f t="shared" si="8"/>
        <v>19,0 &amp; 86 &amp; 4,3 \pm 0,1 \\</v>
      </c>
    </row>
    <row r="15">
      <c r="A15" s="3">
        <f t="shared" si="6"/>
        <v>20</v>
      </c>
      <c r="B15" s="1">
        <v>80.0</v>
      </c>
      <c r="C15" s="3">
        <f t="shared" si="1"/>
        <v>4</v>
      </c>
      <c r="R15" s="3">
        <f t="shared" si="7"/>
        <v>20</v>
      </c>
      <c r="S15" s="1">
        <v>80.0</v>
      </c>
      <c r="T15" s="10">
        <f t="shared" si="2"/>
        <v>8.94427191</v>
      </c>
      <c r="U15" s="11">
        <f t="shared" si="3"/>
        <v>4</v>
      </c>
      <c r="V15" s="11">
        <f t="shared" si="4"/>
        <v>0.1118034101</v>
      </c>
      <c r="W15" s="3" t="str">
        <f t="shared" si="8"/>
        <v>20,0 &amp; 80 &amp; 4,0 \pm 0,1 \\</v>
      </c>
    </row>
    <row r="16">
      <c r="A16" s="3">
        <f t="shared" si="6"/>
        <v>21</v>
      </c>
      <c r="B16" s="1">
        <v>85.0</v>
      </c>
      <c r="C16" s="3">
        <f t="shared" si="1"/>
        <v>4.25</v>
      </c>
      <c r="R16" s="3">
        <f t="shared" si="7"/>
        <v>21</v>
      </c>
      <c r="S16" s="1">
        <v>85.0</v>
      </c>
      <c r="T16" s="10">
        <f t="shared" si="2"/>
        <v>9.219544457</v>
      </c>
      <c r="U16" s="11">
        <f t="shared" si="3"/>
        <v>4.25</v>
      </c>
      <c r="V16" s="11">
        <f t="shared" si="4"/>
        <v>0.1084652404</v>
      </c>
      <c r="W16" s="3" t="str">
        <f t="shared" si="8"/>
        <v>21,0 &amp; 85 &amp; 4,3 \pm 0,1 \\</v>
      </c>
    </row>
    <row r="17">
      <c r="A17" s="3">
        <f t="shared" si="6"/>
        <v>22</v>
      </c>
      <c r="B17" s="1">
        <v>105.0</v>
      </c>
      <c r="C17" s="3">
        <f t="shared" si="1"/>
        <v>5.25</v>
      </c>
      <c r="R17" s="3">
        <f t="shared" si="7"/>
        <v>22</v>
      </c>
      <c r="S17" s="1">
        <v>105.0</v>
      </c>
      <c r="T17" s="10">
        <f t="shared" si="2"/>
        <v>10.24695077</v>
      </c>
      <c r="U17" s="11">
        <f t="shared" si="3"/>
        <v>5.25</v>
      </c>
      <c r="V17" s="11">
        <f t="shared" si="4"/>
        <v>0.0975900201</v>
      </c>
      <c r="W17" s="3" t="str">
        <f t="shared" si="8"/>
        <v>22,0 &amp; 105 &amp; 5,3 \pm 0,1 \\</v>
      </c>
    </row>
    <row r="18">
      <c r="A18" s="3">
        <f t="shared" si="6"/>
        <v>23</v>
      </c>
      <c r="B18" s="1">
        <v>100.0</v>
      </c>
      <c r="C18" s="3">
        <f t="shared" si="1"/>
        <v>5</v>
      </c>
      <c r="R18" s="3">
        <f t="shared" si="7"/>
        <v>23</v>
      </c>
      <c r="S18" s="1">
        <v>100.0</v>
      </c>
      <c r="T18" s="10">
        <f t="shared" si="2"/>
        <v>10</v>
      </c>
      <c r="U18" s="11">
        <f t="shared" si="3"/>
        <v>5</v>
      </c>
      <c r="V18" s="11">
        <f t="shared" si="4"/>
        <v>0.1000000125</v>
      </c>
      <c r="W18" s="3" t="str">
        <f t="shared" si="8"/>
        <v>23,0 &amp; 100 &amp; 5,0 \pm 0,1 \\</v>
      </c>
    </row>
    <row r="19">
      <c r="A19" s="3">
        <f t="shared" si="6"/>
        <v>24</v>
      </c>
      <c r="B19" s="1">
        <v>112.0</v>
      </c>
      <c r="C19" s="3">
        <f t="shared" si="1"/>
        <v>5.6</v>
      </c>
      <c r="R19" s="3">
        <f t="shared" si="7"/>
        <v>24</v>
      </c>
      <c r="S19" s="1">
        <v>112.0</v>
      </c>
      <c r="T19" s="10">
        <f t="shared" si="2"/>
        <v>10.58300524</v>
      </c>
      <c r="U19" s="4">
        <f t="shared" si="3"/>
        <v>5.6</v>
      </c>
      <c r="V19" s="4">
        <f t="shared" si="4"/>
        <v>0.09449113148</v>
      </c>
      <c r="W19" s="3" t="str">
        <f>CONCATENATE(TEXT(R19, "00.0"), " &amp; ", TEXT(S19, "#"), " &amp; ", TEXT(U19,"0.00"), " \pm ", TEXT(V19, "0.00"), " \\")</f>
        <v>24,0 &amp; 112 &amp; 5,60 \pm 0,09 \\</v>
      </c>
    </row>
    <row r="20">
      <c r="A20" s="3">
        <f t="shared" si="6"/>
        <v>25</v>
      </c>
      <c r="B20" s="1">
        <v>98.0</v>
      </c>
      <c r="C20" s="3">
        <f t="shared" si="1"/>
        <v>4.9</v>
      </c>
      <c r="R20" s="3">
        <f t="shared" si="7"/>
        <v>25</v>
      </c>
      <c r="S20" s="1">
        <v>98.0</v>
      </c>
      <c r="T20" s="10">
        <f t="shared" si="2"/>
        <v>9.899494937</v>
      </c>
      <c r="U20" s="11">
        <f t="shared" si="3"/>
        <v>4.9</v>
      </c>
      <c r="V20" s="11">
        <f t="shared" si="4"/>
        <v>0.1010152668</v>
      </c>
      <c r="W20" s="3" t="str">
        <f t="shared" ref="W20:W26" si="9">CONCATENATE(TEXT(R20, "00.0"), " &amp; ", TEXT(S20, "#"), " &amp; ", TEXT(U20,"0.0"), " \pm ", TEXT(V20, "0.0"), " \\")</f>
        <v>25,0 &amp; 98 &amp; 4,9 \pm 0,1 \\</v>
      </c>
    </row>
    <row r="21">
      <c r="A21" s="3">
        <f t="shared" si="6"/>
        <v>26</v>
      </c>
      <c r="B21" s="1">
        <v>97.0</v>
      </c>
      <c r="C21" s="3">
        <f t="shared" si="1"/>
        <v>4.85</v>
      </c>
      <c r="R21" s="3">
        <f t="shared" si="7"/>
        <v>26</v>
      </c>
      <c r="S21" s="1">
        <v>97.0</v>
      </c>
      <c r="T21" s="10">
        <f t="shared" si="2"/>
        <v>9.848857802</v>
      </c>
      <c r="U21" s="11">
        <f t="shared" si="3"/>
        <v>4.85</v>
      </c>
      <c r="V21" s="11">
        <f t="shared" si="4"/>
        <v>0.1015346288</v>
      </c>
      <c r="W21" s="3" t="str">
        <f t="shared" si="9"/>
        <v>26,0 &amp; 97 &amp; 4,9 \pm 0,1 \\</v>
      </c>
    </row>
    <row r="22">
      <c r="A22" s="4">
        <f t="shared" ref="A22:A57" si="10">A21+(1/6)</f>
        <v>26.16666667</v>
      </c>
      <c r="B22" s="1">
        <v>88.0</v>
      </c>
      <c r="C22" s="3">
        <f t="shared" si="1"/>
        <v>4.4</v>
      </c>
      <c r="R22" s="4">
        <f t="shared" ref="R22:R57" si="11">R21+(1/6)</f>
        <v>26.16666667</v>
      </c>
      <c r="S22" s="1">
        <v>88.0</v>
      </c>
      <c r="T22" s="10">
        <f t="shared" si="2"/>
        <v>9.38083152</v>
      </c>
      <c r="U22" s="11">
        <f t="shared" si="3"/>
        <v>4.4</v>
      </c>
      <c r="V22" s="11">
        <f t="shared" si="4"/>
        <v>0.1066003699</v>
      </c>
      <c r="W22" s="3" t="str">
        <f t="shared" si="9"/>
        <v>26,2 &amp; 88 &amp; 4,4 \pm 0,1 \\</v>
      </c>
    </row>
    <row r="23">
      <c r="A23" s="4">
        <f t="shared" si="10"/>
        <v>26.33333333</v>
      </c>
      <c r="B23" s="1">
        <v>103.0</v>
      </c>
      <c r="C23" s="3">
        <f t="shared" si="1"/>
        <v>5.15</v>
      </c>
      <c r="R23" s="4">
        <f t="shared" si="11"/>
        <v>26.33333333</v>
      </c>
      <c r="S23" s="1">
        <v>103.0</v>
      </c>
      <c r="T23" s="10">
        <f t="shared" si="2"/>
        <v>10.14889157</v>
      </c>
      <c r="U23" s="11">
        <f t="shared" si="3"/>
        <v>5.15</v>
      </c>
      <c r="V23" s="11">
        <f t="shared" si="4"/>
        <v>0.0985329405</v>
      </c>
      <c r="W23" s="3" t="str">
        <f t="shared" si="9"/>
        <v>26,3 &amp; 103 &amp; 5,2 \pm 0,1 \\</v>
      </c>
    </row>
    <row r="24">
      <c r="A24" s="4">
        <f t="shared" si="10"/>
        <v>26.5</v>
      </c>
      <c r="B24" s="1">
        <v>104.0</v>
      </c>
      <c r="C24" s="3">
        <f t="shared" si="1"/>
        <v>5.2</v>
      </c>
      <c r="R24" s="4">
        <f t="shared" si="11"/>
        <v>26.5</v>
      </c>
      <c r="S24" s="1">
        <v>104.0</v>
      </c>
      <c r="T24" s="10">
        <f t="shared" si="2"/>
        <v>10.19803903</v>
      </c>
      <c r="U24" s="11">
        <f t="shared" si="3"/>
        <v>5.2</v>
      </c>
      <c r="V24" s="11">
        <f t="shared" si="4"/>
        <v>0.09805808032</v>
      </c>
      <c r="W24" s="3" t="str">
        <f t="shared" si="9"/>
        <v>26,5 &amp; 104 &amp; 5,2 \pm 0,1 \\</v>
      </c>
    </row>
    <row r="25">
      <c r="A25" s="4">
        <f t="shared" si="10"/>
        <v>26.66666667</v>
      </c>
      <c r="B25" s="1">
        <v>96.0</v>
      </c>
      <c r="C25" s="3">
        <f t="shared" si="1"/>
        <v>4.8</v>
      </c>
      <c r="R25" s="4">
        <f t="shared" si="11"/>
        <v>26.66666667</v>
      </c>
      <c r="S25" s="1">
        <v>96.0</v>
      </c>
      <c r="T25" s="10">
        <f t="shared" si="2"/>
        <v>9.797958971</v>
      </c>
      <c r="U25" s="11">
        <f t="shared" si="3"/>
        <v>4.8</v>
      </c>
      <c r="V25" s="11">
        <f t="shared" si="4"/>
        <v>0.1020620849</v>
      </c>
      <c r="W25" s="3" t="str">
        <f t="shared" si="9"/>
        <v>26,7 &amp; 96 &amp; 4,8 \pm 0,1 \\</v>
      </c>
    </row>
    <row r="26">
      <c r="A26" s="4">
        <f t="shared" si="10"/>
        <v>26.83333333</v>
      </c>
      <c r="B26" s="1">
        <v>109.0</v>
      </c>
      <c r="C26" s="3">
        <f t="shared" si="1"/>
        <v>5.45</v>
      </c>
      <c r="R26" s="4">
        <f t="shared" si="11"/>
        <v>26.83333333</v>
      </c>
      <c r="S26" s="1">
        <v>109.0</v>
      </c>
      <c r="T26" s="10">
        <f t="shared" si="2"/>
        <v>10.44030651</v>
      </c>
      <c r="U26" s="11">
        <f t="shared" si="3"/>
        <v>5.45</v>
      </c>
      <c r="V26" s="11">
        <f t="shared" si="4"/>
        <v>0.09578264157</v>
      </c>
      <c r="W26" s="3" t="str">
        <f t="shared" si="9"/>
        <v>26,8 &amp; 109 &amp; 5,5 \pm 0,1 \\</v>
      </c>
    </row>
    <row r="27">
      <c r="A27" s="4">
        <f t="shared" si="10"/>
        <v>27</v>
      </c>
      <c r="B27" s="1">
        <v>150.0</v>
      </c>
      <c r="C27" s="3">
        <f t="shared" si="1"/>
        <v>7.5</v>
      </c>
      <c r="R27" s="4">
        <f t="shared" si="11"/>
        <v>27</v>
      </c>
      <c r="S27" s="1">
        <v>150.0</v>
      </c>
      <c r="T27" s="10">
        <f t="shared" si="2"/>
        <v>12.24744871</v>
      </c>
      <c r="U27" s="4">
        <f t="shared" si="3"/>
        <v>7.5</v>
      </c>
      <c r="V27" s="4">
        <f t="shared" si="4"/>
        <v>0.0816496734</v>
      </c>
      <c r="W27" s="3" t="str">
        <f t="shared" ref="W27:W35" si="12">CONCATENATE(TEXT(R27, "00.0"), " &amp; ", TEXT(S27, "#"), " &amp; ", TEXT(U27,"0.00"), " \pm ", TEXT(V27, "0.00"), " \\")</f>
        <v>27,0 &amp; 150 &amp; 7,50 \pm 0,08 \\</v>
      </c>
    </row>
    <row r="28">
      <c r="A28" s="4">
        <f t="shared" si="10"/>
        <v>27.16666667</v>
      </c>
      <c r="B28" s="1">
        <v>199.0</v>
      </c>
      <c r="C28" s="3">
        <f t="shared" si="1"/>
        <v>9.95</v>
      </c>
      <c r="R28" s="4">
        <f t="shared" si="11"/>
        <v>27.16666667</v>
      </c>
      <c r="S28" s="1">
        <v>199.0</v>
      </c>
      <c r="T28" s="10">
        <f t="shared" si="2"/>
        <v>14.10673598</v>
      </c>
      <c r="U28" s="4">
        <f t="shared" si="3"/>
        <v>9.95</v>
      </c>
      <c r="V28" s="4">
        <f t="shared" si="4"/>
        <v>0.07088813813</v>
      </c>
      <c r="W28" s="3" t="str">
        <f t="shared" si="12"/>
        <v>27,2 &amp; 199 &amp; 9,95 \pm 0,07 \\</v>
      </c>
    </row>
    <row r="29">
      <c r="A29" s="4">
        <f t="shared" si="10"/>
        <v>27.33333333</v>
      </c>
      <c r="B29" s="1">
        <v>236.0</v>
      </c>
      <c r="C29" s="3">
        <f t="shared" si="1"/>
        <v>11.8</v>
      </c>
      <c r="R29" s="4">
        <f t="shared" si="11"/>
        <v>27.33333333</v>
      </c>
      <c r="S29" s="1">
        <v>236.0</v>
      </c>
      <c r="T29" s="10">
        <f t="shared" si="2"/>
        <v>15.3622915</v>
      </c>
      <c r="U29" s="4">
        <f t="shared" si="3"/>
        <v>11.8</v>
      </c>
      <c r="V29" s="4">
        <f t="shared" si="4"/>
        <v>0.06509447469</v>
      </c>
      <c r="W29" s="3" t="str">
        <f t="shared" si="12"/>
        <v>27,3 &amp; 236 &amp; 11,80 \pm 0,07 \\</v>
      </c>
    </row>
    <row r="30">
      <c r="A30" s="4">
        <f t="shared" si="10"/>
        <v>27.5</v>
      </c>
      <c r="B30" s="1">
        <v>295.0</v>
      </c>
      <c r="C30" s="3">
        <f t="shared" si="1"/>
        <v>14.75</v>
      </c>
      <c r="R30" s="4">
        <f t="shared" si="11"/>
        <v>27.5</v>
      </c>
      <c r="S30" s="1">
        <v>295.0</v>
      </c>
      <c r="T30" s="10">
        <f t="shared" si="2"/>
        <v>17.17556404</v>
      </c>
      <c r="U30" s="4">
        <f t="shared" si="3"/>
        <v>14.75</v>
      </c>
      <c r="V30" s="4">
        <f t="shared" si="4"/>
        <v>0.05822227244</v>
      </c>
      <c r="W30" s="3" t="str">
        <f t="shared" si="12"/>
        <v>27,5 &amp; 295 &amp; 14,75 \pm 0,06 \\</v>
      </c>
    </row>
    <row r="31">
      <c r="A31" s="15">
        <f t="shared" si="10"/>
        <v>27.66666667</v>
      </c>
      <c r="B31" s="1">
        <v>322.0</v>
      </c>
      <c r="C31" s="3">
        <f t="shared" si="1"/>
        <v>16.1</v>
      </c>
      <c r="R31" s="15">
        <f t="shared" si="11"/>
        <v>27.66666667</v>
      </c>
      <c r="S31" s="1">
        <v>322.0</v>
      </c>
      <c r="T31" s="10">
        <f t="shared" si="2"/>
        <v>17.94435844</v>
      </c>
      <c r="U31" s="4">
        <f t="shared" si="3"/>
        <v>16.1</v>
      </c>
      <c r="V31" s="4">
        <f t="shared" si="4"/>
        <v>0.05572784369</v>
      </c>
      <c r="W31" s="3" t="str">
        <f t="shared" si="12"/>
        <v>27,7 &amp; 322 &amp; 16,10 \pm 0,06 \\</v>
      </c>
    </row>
    <row r="32">
      <c r="A32" s="4">
        <f t="shared" si="10"/>
        <v>27.83333333</v>
      </c>
      <c r="B32" s="1">
        <v>223.0</v>
      </c>
      <c r="C32" s="3">
        <f t="shared" si="1"/>
        <v>11.15</v>
      </c>
      <c r="R32" s="4">
        <f t="shared" si="11"/>
        <v>27.83333333</v>
      </c>
      <c r="S32" s="1">
        <v>223.0</v>
      </c>
      <c r="T32" s="10">
        <f t="shared" si="2"/>
        <v>14.93318452</v>
      </c>
      <c r="U32" s="4">
        <f t="shared" si="3"/>
        <v>11.15</v>
      </c>
      <c r="V32" s="4">
        <f t="shared" si="4"/>
        <v>0.06696497168</v>
      </c>
      <c r="W32" s="3" t="str">
        <f t="shared" si="12"/>
        <v>27,8 &amp; 223 &amp; 11,15 \pm 0,07 \\</v>
      </c>
    </row>
    <row r="33">
      <c r="A33" s="4">
        <f t="shared" si="10"/>
        <v>28</v>
      </c>
      <c r="B33" s="1">
        <v>181.0</v>
      </c>
      <c r="C33" s="3">
        <f t="shared" si="1"/>
        <v>9.05</v>
      </c>
      <c r="R33" s="4">
        <f t="shared" si="11"/>
        <v>28</v>
      </c>
      <c r="S33" s="1">
        <v>181.0</v>
      </c>
      <c r="T33" s="10">
        <f t="shared" si="2"/>
        <v>13.45362405</v>
      </c>
      <c r="U33" s="4">
        <f t="shared" si="3"/>
        <v>9.05</v>
      </c>
      <c r="V33" s="4">
        <f t="shared" si="4"/>
        <v>0.07432943144</v>
      </c>
      <c r="W33" s="3" t="str">
        <f t="shared" si="12"/>
        <v>28,0 &amp; 181 &amp; 9,05 \pm 0,07 \\</v>
      </c>
    </row>
    <row r="34">
      <c r="A34" s="4">
        <f t="shared" si="10"/>
        <v>28.16666667</v>
      </c>
      <c r="B34" s="1">
        <v>143.0</v>
      </c>
      <c r="C34" s="3">
        <f t="shared" si="1"/>
        <v>7.15</v>
      </c>
      <c r="R34" s="4">
        <f t="shared" si="11"/>
        <v>28.16666667</v>
      </c>
      <c r="S34" s="1">
        <v>143.0</v>
      </c>
      <c r="T34" s="10">
        <f t="shared" si="2"/>
        <v>11.95826074</v>
      </c>
      <c r="U34" s="4">
        <f t="shared" si="3"/>
        <v>7.15</v>
      </c>
      <c r="V34" s="4">
        <f t="shared" si="4"/>
        <v>0.08362421595</v>
      </c>
      <c r="W34" s="3" t="str">
        <f t="shared" si="12"/>
        <v>28,2 &amp; 143 &amp; 7,15 \pm 0,08 \\</v>
      </c>
    </row>
    <row r="35">
      <c r="A35" s="4">
        <f t="shared" si="10"/>
        <v>28.33333333</v>
      </c>
      <c r="B35" s="1">
        <v>121.0</v>
      </c>
      <c r="C35" s="3">
        <f t="shared" si="1"/>
        <v>6.05</v>
      </c>
      <c r="R35" s="4">
        <f t="shared" si="11"/>
        <v>28.33333333</v>
      </c>
      <c r="S35" s="1">
        <v>121.0</v>
      </c>
      <c r="T35" s="10">
        <f t="shared" si="2"/>
        <v>11</v>
      </c>
      <c r="U35" s="4">
        <f t="shared" si="3"/>
        <v>6.05</v>
      </c>
      <c r="V35" s="4">
        <f t="shared" si="4"/>
        <v>0.09090910466</v>
      </c>
      <c r="W35" s="3" t="str">
        <f t="shared" si="12"/>
        <v>28,3 &amp; 121 &amp; 6,05 \pm 0,09 \\</v>
      </c>
    </row>
    <row r="36">
      <c r="A36" s="4">
        <f t="shared" si="10"/>
        <v>28.5</v>
      </c>
      <c r="B36" s="1">
        <v>109.0</v>
      </c>
      <c r="C36" s="3">
        <f t="shared" si="1"/>
        <v>5.45</v>
      </c>
      <c r="R36" s="4">
        <f t="shared" si="11"/>
        <v>28.5</v>
      </c>
      <c r="S36" s="1">
        <v>109.0</v>
      </c>
      <c r="T36" s="10">
        <f t="shared" si="2"/>
        <v>10.44030651</v>
      </c>
      <c r="U36" s="11">
        <f t="shared" si="3"/>
        <v>5.45</v>
      </c>
      <c r="V36" s="11">
        <f t="shared" si="4"/>
        <v>0.09578264157</v>
      </c>
      <c r="W36" s="3" t="str">
        <f t="shared" ref="W36:W37" si="13">CONCATENATE(TEXT(R36, "00.0"), " &amp; ", TEXT(S36, "#"), " &amp; ", TEXT(U36,"0.0"), " \pm ", TEXT(V36, "0.0"), " \\")</f>
        <v>28,5 &amp; 109 &amp; 5,5 \pm 0,1 \\</v>
      </c>
    </row>
    <row r="37">
      <c r="A37" s="4">
        <f t="shared" si="10"/>
        <v>28.66666667</v>
      </c>
      <c r="B37" s="1">
        <v>109.0</v>
      </c>
      <c r="C37" s="3">
        <f t="shared" si="1"/>
        <v>5.45</v>
      </c>
      <c r="R37" s="4">
        <f t="shared" si="11"/>
        <v>28.66666667</v>
      </c>
      <c r="S37" s="1">
        <v>109.0</v>
      </c>
      <c r="T37" s="10">
        <f t="shared" si="2"/>
        <v>10.44030651</v>
      </c>
      <c r="U37" s="11">
        <f t="shared" si="3"/>
        <v>5.45</v>
      </c>
      <c r="V37" s="11">
        <f t="shared" si="4"/>
        <v>0.09578264157</v>
      </c>
      <c r="W37" s="3" t="str">
        <f t="shared" si="13"/>
        <v>28,7 &amp; 109 &amp; 5,5 \pm 0,1 \\</v>
      </c>
    </row>
    <row r="38">
      <c r="A38" s="4">
        <f t="shared" si="10"/>
        <v>28.83333333</v>
      </c>
      <c r="B38" s="1">
        <v>118.0</v>
      </c>
      <c r="C38" s="3">
        <f t="shared" si="1"/>
        <v>5.9</v>
      </c>
      <c r="R38" s="4">
        <f t="shared" si="11"/>
        <v>28.83333333</v>
      </c>
      <c r="S38" s="1">
        <v>118.0</v>
      </c>
      <c r="T38" s="10">
        <f t="shared" si="2"/>
        <v>10.86278049</v>
      </c>
      <c r="U38" s="4">
        <f t="shared" si="3"/>
        <v>5.9</v>
      </c>
      <c r="V38" s="4">
        <f t="shared" si="4"/>
        <v>0.09205747537</v>
      </c>
      <c r="W38" s="3" t="str">
        <f t="shared" ref="W38:W59" si="14">CONCATENATE(TEXT(R38, "00.0"), " &amp; ", TEXT(S38, "#"), " &amp; ", TEXT(U38,"0.00"), " \pm ", TEXT(V38, "0.00"), " \\")</f>
        <v>28,8 &amp; 118 &amp; 5,90 \pm 0,09 \\</v>
      </c>
    </row>
    <row r="39">
      <c r="A39" s="4">
        <f t="shared" si="10"/>
        <v>29</v>
      </c>
      <c r="B39" s="1">
        <v>121.0</v>
      </c>
      <c r="C39" s="3">
        <f t="shared" si="1"/>
        <v>6.05</v>
      </c>
      <c r="R39" s="4">
        <f t="shared" si="11"/>
        <v>29</v>
      </c>
      <c r="S39" s="1">
        <v>121.0</v>
      </c>
      <c r="T39" s="10">
        <f t="shared" si="2"/>
        <v>11</v>
      </c>
      <c r="U39" s="4">
        <f t="shared" si="3"/>
        <v>6.05</v>
      </c>
      <c r="V39" s="4">
        <f t="shared" si="4"/>
        <v>0.09090910466</v>
      </c>
      <c r="W39" s="3" t="str">
        <f t="shared" si="14"/>
        <v>29,0 &amp; 121 &amp; 6,05 \pm 0,09 \\</v>
      </c>
    </row>
    <row r="40">
      <c r="A40" s="4">
        <f t="shared" si="10"/>
        <v>29.16666667</v>
      </c>
      <c r="B40" s="1">
        <v>121.0</v>
      </c>
      <c r="C40" s="3">
        <f t="shared" si="1"/>
        <v>6.05</v>
      </c>
      <c r="R40" s="4">
        <f t="shared" si="11"/>
        <v>29.16666667</v>
      </c>
      <c r="S40" s="1">
        <v>121.0</v>
      </c>
      <c r="T40" s="10">
        <f t="shared" si="2"/>
        <v>11</v>
      </c>
      <c r="U40" s="4">
        <f t="shared" si="3"/>
        <v>6.05</v>
      </c>
      <c r="V40" s="4">
        <f t="shared" si="4"/>
        <v>0.09090910466</v>
      </c>
      <c r="W40" s="3" t="str">
        <f t="shared" si="14"/>
        <v>29,2 &amp; 121 &amp; 6,05 \pm 0,09 \\</v>
      </c>
    </row>
    <row r="41">
      <c r="A41" s="4">
        <f t="shared" si="10"/>
        <v>29.33333333</v>
      </c>
      <c r="B41" s="1">
        <v>111.0</v>
      </c>
      <c r="C41" s="3">
        <f t="shared" si="1"/>
        <v>5.55</v>
      </c>
      <c r="R41" s="4">
        <f t="shared" si="11"/>
        <v>29.33333333</v>
      </c>
      <c r="S41" s="1">
        <v>111.0</v>
      </c>
      <c r="T41" s="10">
        <f t="shared" si="2"/>
        <v>10.53565375</v>
      </c>
      <c r="U41" s="4">
        <f t="shared" si="3"/>
        <v>5.55</v>
      </c>
      <c r="V41" s="4">
        <f t="shared" si="4"/>
        <v>0.09491581274</v>
      </c>
      <c r="W41" s="3" t="str">
        <f t="shared" si="14"/>
        <v>29,3 &amp; 111 &amp; 5,55 \pm 0,09 \\</v>
      </c>
    </row>
    <row r="42">
      <c r="A42" s="4">
        <f t="shared" si="10"/>
        <v>29.5</v>
      </c>
      <c r="B42" s="1">
        <v>112.0</v>
      </c>
      <c r="C42" s="3">
        <f t="shared" si="1"/>
        <v>5.6</v>
      </c>
      <c r="R42" s="4">
        <f t="shared" si="11"/>
        <v>29.5</v>
      </c>
      <c r="S42" s="1">
        <v>112.0</v>
      </c>
      <c r="T42" s="10">
        <f t="shared" si="2"/>
        <v>10.58300524</v>
      </c>
      <c r="U42" s="4">
        <f t="shared" si="3"/>
        <v>5.6</v>
      </c>
      <c r="V42" s="4">
        <f t="shared" si="4"/>
        <v>0.09449113148</v>
      </c>
      <c r="W42" s="3" t="str">
        <f t="shared" si="14"/>
        <v>29,5 &amp; 112 &amp; 5,60 \pm 0,09 \\</v>
      </c>
    </row>
    <row r="43">
      <c r="A43" s="4">
        <f t="shared" si="10"/>
        <v>29.66666667</v>
      </c>
      <c r="B43" s="1">
        <v>119.0</v>
      </c>
      <c r="C43" s="3">
        <f t="shared" si="1"/>
        <v>5.95</v>
      </c>
      <c r="R43" s="4">
        <f t="shared" si="11"/>
        <v>29.66666667</v>
      </c>
      <c r="S43" s="1">
        <v>119.0</v>
      </c>
      <c r="T43" s="10">
        <f t="shared" si="2"/>
        <v>10.90871211</v>
      </c>
      <c r="U43" s="4">
        <f t="shared" si="3"/>
        <v>5.95</v>
      </c>
      <c r="V43" s="4">
        <f t="shared" si="4"/>
        <v>0.09166986334</v>
      </c>
      <c r="W43" s="3" t="str">
        <f t="shared" si="14"/>
        <v>29,7 &amp; 119 &amp; 5,95 \pm 0,09 \\</v>
      </c>
    </row>
    <row r="44">
      <c r="A44" s="4">
        <f t="shared" si="10"/>
        <v>29.83333333</v>
      </c>
      <c r="B44" s="1">
        <v>133.0</v>
      </c>
      <c r="C44" s="3">
        <f t="shared" si="1"/>
        <v>6.65</v>
      </c>
      <c r="R44" s="4">
        <f t="shared" si="11"/>
        <v>29.83333333</v>
      </c>
      <c r="S44" s="1">
        <v>133.0</v>
      </c>
      <c r="T44" s="10">
        <f t="shared" si="2"/>
        <v>11.53256259</v>
      </c>
      <c r="U44" s="4">
        <f t="shared" si="3"/>
        <v>6.65</v>
      </c>
      <c r="V44" s="4">
        <f t="shared" si="4"/>
        <v>0.08671101137</v>
      </c>
      <c r="W44" s="3" t="str">
        <f t="shared" si="14"/>
        <v>29,8 &amp; 133 &amp; 6,65 \pm 0,09 \\</v>
      </c>
    </row>
    <row r="45">
      <c r="A45" s="4">
        <f t="shared" si="10"/>
        <v>30</v>
      </c>
      <c r="B45" s="1">
        <v>138.0</v>
      </c>
      <c r="C45" s="3">
        <f t="shared" si="1"/>
        <v>6.9</v>
      </c>
      <c r="R45" s="4">
        <f t="shared" si="11"/>
        <v>30</v>
      </c>
      <c r="S45" s="1">
        <v>138.0</v>
      </c>
      <c r="T45" s="10">
        <f t="shared" si="2"/>
        <v>11.74734012</v>
      </c>
      <c r="U45" s="4">
        <f t="shared" si="3"/>
        <v>6.9</v>
      </c>
      <c r="V45" s="4">
        <f t="shared" si="4"/>
        <v>0.08512566776</v>
      </c>
      <c r="W45" s="3" t="str">
        <f t="shared" si="14"/>
        <v>30,0 &amp; 138 &amp; 6,90 \pm 0,09 \\</v>
      </c>
    </row>
    <row r="46">
      <c r="A46" s="4">
        <f t="shared" si="10"/>
        <v>30.16666667</v>
      </c>
      <c r="B46" s="1">
        <v>351.0</v>
      </c>
      <c r="C46" s="3">
        <f t="shared" si="1"/>
        <v>17.55</v>
      </c>
      <c r="R46" s="4">
        <f t="shared" si="11"/>
        <v>30.16666667</v>
      </c>
      <c r="S46" s="1">
        <v>351.0</v>
      </c>
      <c r="T46" s="10">
        <f t="shared" si="2"/>
        <v>18.734994</v>
      </c>
      <c r="U46" s="4">
        <f t="shared" si="3"/>
        <v>17.55</v>
      </c>
      <c r="V46" s="4">
        <f t="shared" si="4"/>
        <v>0.05337607469</v>
      </c>
      <c r="W46" s="3" t="str">
        <f t="shared" si="14"/>
        <v>30,2 &amp; 351 &amp; 17,55 \pm 0,05 \\</v>
      </c>
    </row>
    <row r="47">
      <c r="A47" s="4">
        <f t="shared" si="10"/>
        <v>30.33333333</v>
      </c>
      <c r="B47" s="1">
        <v>557.0</v>
      </c>
      <c r="C47" s="3">
        <f t="shared" si="1"/>
        <v>27.85</v>
      </c>
      <c r="R47" s="4">
        <f t="shared" si="11"/>
        <v>30.33333333</v>
      </c>
      <c r="S47" s="1">
        <v>557.0</v>
      </c>
      <c r="T47" s="10">
        <f t="shared" si="2"/>
        <v>23.60084744</v>
      </c>
      <c r="U47" s="4">
        <f t="shared" si="3"/>
        <v>27.85</v>
      </c>
      <c r="V47" s="4">
        <f t="shared" si="4"/>
        <v>0.04237138936</v>
      </c>
      <c r="W47" s="3" t="str">
        <f t="shared" si="14"/>
        <v>30,3 &amp; 557 &amp; 27,85 \pm 0,04 \\</v>
      </c>
    </row>
    <row r="48">
      <c r="A48" s="4">
        <f t="shared" si="10"/>
        <v>30.5</v>
      </c>
      <c r="B48" s="1">
        <v>688.0</v>
      </c>
      <c r="C48" s="3">
        <f t="shared" si="1"/>
        <v>34.4</v>
      </c>
      <c r="R48" s="4">
        <f t="shared" si="11"/>
        <v>30.5</v>
      </c>
      <c r="S48" s="1">
        <v>688.0</v>
      </c>
      <c r="T48" s="10">
        <f t="shared" si="2"/>
        <v>26.2297541</v>
      </c>
      <c r="U48" s="4">
        <f t="shared" si="3"/>
        <v>34.4</v>
      </c>
      <c r="V48" s="4">
        <f t="shared" si="4"/>
        <v>0.03812467537</v>
      </c>
      <c r="W48" s="3" t="str">
        <f t="shared" si="14"/>
        <v>30,5 &amp; 688 &amp; 34,40 \pm 0,04 \\</v>
      </c>
    </row>
    <row r="49">
      <c r="A49" s="4">
        <f t="shared" si="10"/>
        <v>30.66666667</v>
      </c>
      <c r="B49" s="1">
        <v>967.0</v>
      </c>
      <c r="C49" s="3">
        <f t="shared" si="1"/>
        <v>48.35</v>
      </c>
      <c r="F49" s="1" t="s">
        <v>30</v>
      </c>
      <c r="G49" s="1" t="s">
        <v>31</v>
      </c>
      <c r="H49" s="1" t="s">
        <v>27</v>
      </c>
      <c r="I49" s="1" t="s">
        <v>32</v>
      </c>
      <c r="J49" s="1" t="s">
        <v>22</v>
      </c>
      <c r="K49" s="1" t="s">
        <v>33</v>
      </c>
      <c r="L49" s="1" t="s">
        <v>34</v>
      </c>
      <c r="M49" s="1" t="s">
        <v>23</v>
      </c>
      <c r="N49" s="1" t="s">
        <v>35</v>
      </c>
      <c r="O49" s="1" t="s">
        <v>36</v>
      </c>
      <c r="R49" s="4">
        <f t="shared" si="11"/>
        <v>30.66666667</v>
      </c>
      <c r="S49" s="1">
        <v>967.0</v>
      </c>
      <c r="T49" s="10">
        <f t="shared" si="2"/>
        <v>31.09662361</v>
      </c>
      <c r="U49" s="4">
        <f t="shared" si="3"/>
        <v>48.35</v>
      </c>
      <c r="V49" s="4">
        <f t="shared" si="4"/>
        <v>0.03215787094</v>
      </c>
      <c r="W49" s="3" t="str">
        <f t="shared" si="14"/>
        <v>30,7 &amp; 967 &amp; 48,35 \pm 0,03 \\</v>
      </c>
    </row>
    <row r="50">
      <c r="A50" s="15">
        <f t="shared" si="10"/>
        <v>30.83333333</v>
      </c>
      <c r="B50" s="1">
        <v>1057.0</v>
      </c>
      <c r="C50" s="3">
        <f t="shared" si="1"/>
        <v>52.85</v>
      </c>
      <c r="F50" s="1" t="s">
        <v>37</v>
      </c>
      <c r="G50" s="3">
        <f t="shared" ref="G50:G51" si="15">H50/2</f>
        <v>13.835</v>
      </c>
      <c r="H50" s="1">
        <v>27.67</v>
      </c>
      <c r="I50" s="3">
        <f t="shared" ref="I50:I51" si="16">SIN(RADIANS(G50))</f>
        <v>0.2391266452</v>
      </c>
      <c r="J50" s="7">
        <v>5.64E-10</v>
      </c>
      <c r="K50" s="7">
        <v>2.0E-12</v>
      </c>
      <c r="L50" s="1">
        <v>1.0</v>
      </c>
      <c r="M50" s="8">
        <f t="shared" ref="M50:M51" si="17">J50*I50/1</f>
        <v>0.0000000001348674279</v>
      </c>
      <c r="R50" s="15">
        <f t="shared" si="11"/>
        <v>30.83333333</v>
      </c>
      <c r="S50" s="1">
        <v>1057.0</v>
      </c>
      <c r="T50" s="10">
        <f t="shared" si="2"/>
        <v>32.51153641</v>
      </c>
      <c r="U50" s="4">
        <f t="shared" si="3"/>
        <v>52.85</v>
      </c>
      <c r="V50" s="4">
        <f t="shared" si="4"/>
        <v>0.03075835324</v>
      </c>
      <c r="W50" s="3" t="str">
        <f t="shared" si="14"/>
        <v>30,8 &amp; 1057 &amp; 52,85 \pm 0,03 \\</v>
      </c>
    </row>
    <row r="51">
      <c r="A51" s="4">
        <f t="shared" si="10"/>
        <v>31</v>
      </c>
      <c r="B51" s="1">
        <v>909.0</v>
      </c>
      <c r="C51" s="3">
        <f t="shared" si="1"/>
        <v>45.45</v>
      </c>
      <c r="F51" s="1" t="s">
        <v>38</v>
      </c>
      <c r="G51" s="3">
        <f t="shared" si="15"/>
        <v>15.415</v>
      </c>
      <c r="H51" s="1">
        <v>30.83</v>
      </c>
      <c r="I51" s="3">
        <f t="shared" si="16"/>
        <v>0.265808508</v>
      </c>
      <c r="J51" s="7">
        <v>5.64E-10</v>
      </c>
      <c r="L51" s="1">
        <v>1.0</v>
      </c>
      <c r="M51" s="8">
        <f t="shared" si="17"/>
        <v>0.0000000001499159985</v>
      </c>
      <c r="R51" s="4">
        <f t="shared" si="11"/>
        <v>31</v>
      </c>
      <c r="S51" s="1">
        <v>909.0</v>
      </c>
      <c r="T51" s="10">
        <f t="shared" si="2"/>
        <v>30.14962686</v>
      </c>
      <c r="U51" s="4">
        <f t="shared" si="3"/>
        <v>45.45</v>
      </c>
      <c r="V51" s="4">
        <f t="shared" si="4"/>
        <v>0.03316794403</v>
      </c>
      <c r="W51" s="3" t="str">
        <f t="shared" si="14"/>
        <v>31,0 &amp; 909 &amp; 45,45 \pm 0,03 \\</v>
      </c>
    </row>
    <row r="52">
      <c r="A52" s="4">
        <f t="shared" si="10"/>
        <v>31.16666667</v>
      </c>
      <c r="B52" s="1">
        <v>673.0</v>
      </c>
      <c r="C52" s="3">
        <f t="shared" si="1"/>
        <v>33.65</v>
      </c>
      <c r="R52" s="4">
        <f t="shared" si="11"/>
        <v>31.16666667</v>
      </c>
      <c r="S52" s="1">
        <v>673.0</v>
      </c>
      <c r="T52" s="10">
        <f t="shared" si="2"/>
        <v>25.94224354</v>
      </c>
      <c r="U52" s="4">
        <f t="shared" si="3"/>
        <v>33.65</v>
      </c>
      <c r="V52" s="4">
        <f t="shared" si="4"/>
        <v>0.03854719965</v>
      </c>
      <c r="W52" s="3" t="str">
        <f t="shared" si="14"/>
        <v>31,2 &amp; 673 &amp; 33,65 \pm 0,04 \\</v>
      </c>
    </row>
    <row r="53">
      <c r="A53" s="4">
        <f t="shared" si="10"/>
        <v>31.33333333</v>
      </c>
      <c r="B53" s="1">
        <v>372.0</v>
      </c>
      <c r="C53" s="3">
        <f t="shared" si="1"/>
        <v>18.6</v>
      </c>
      <c r="R53" s="4">
        <f t="shared" si="11"/>
        <v>31.33333333</v>
      </c>
      <c r="S53" s="1">
        <v>372.0</v>
      </c>
      <c r="T53" s="10">
        <f t="shared" si="2"/>
        <v>19.28730152</v>
      </c>
      <c r="U53" s="4">
        <f t="shared" si="3"/>
        <v>18.6</v>
      </c>
      <c r="V53" s="4">
        <f t="shared" si="4"/>
        <v>0.05184760885</v>
      </c>
      <c r="W53" s="3" t="str">
        <f t="shared" si="14"/>
        <v>31,3 &amp; 372 &amp; 18,60 \pm 0,05 \\</v>
      </c>
    </row>
    <row r="54">
      <c r="A54" s="4">
        <f t="shared" si="10"/>
        <v>31.5</v>
      </c>
      <c r="B54" s="1">
        <v>211.0</v>
      </c>
      <c r="C54" s="3">
        <f t="shared" si="1"/>
        <v>10.55</v>
      </c>
      <c r="R54" s="4">
        <f t="shared" si="11"/>
        <v>31.5</v>
      </c>
      <c r="S54" s="1">
        <v>211.0</v>
      </c>
      <c r="T54" s="10">
        <f t="shared" si="2"/>
        <v>14.52583905</v>
      </c>
      <c r="U54" s="4">
        <f t="shared" si="3"/>
        <v>10.55</v>
      </c>
      <c r="V54" s="4">
        <f t="shared" si="4"/>
        <v>0.06884285724</v>
      </c>
      <c r="W54" s="3" t="str">
        <f t="shared" si="14"/>
        <v>31,5 &amp; 211 &amp; 10,55 \pm 0,07 \\</v>
      </c>
    </row>
    <row r="55">
      <c r="A55" s="4">
        <f t="shared" si="10"/>
        <v>31.66666667</v>
      </c>
      <c r="B55" s="1">
        <v>120.0</v>
      </c>
      <c r="C55" s="3">
        <f t="shared" si="1"/>
        <v>6</v>
      </c>
      <c r="R55" s="4">
        <f t="shared" si="11"/>
        <v>31.66666667</v>
      </c>
      <c r="S55" s="1">
        <v>120.0</v>
      </c>
      <c r="T55" s="10">
        <f t="shared" si="2"/>
        <v>10.95445115</v>
      </c>
      <c r="U55" s="4">
        <f t="shared" si="3"/>
        <v>6</v>
      </c>
      <c r="V55" s="4">
        <f t="shared" si="4"/>
        <v>0.09128710661</v>
      </c>
      <c r="W55" s="3" t="str">
        <f t="shared" si="14"/>
        <v>31,7 &amp; 120 &amp; 6,00 \pm 0,09 \\</v>
      </c>
    </row>
    <row r="56">
      <c r="A56" s="4">
        <f t="shared" si="10"/>
        <v>31.83333333</v>
      </c>
      <c r="B56" s="1">
        <v>117.0</v>
      </c>
      <c r="C56" s="3">
        <f t="shared" si="1"/>
        <v>5.85</v>
      </c>
      <c r="R56" s="4">
        <f t="shared" si="11"/>
        <v>31.83333333</v>
      </c>
      <c r="S56" s="1">
        <v>117.0</v>
      </c>
      <c r="T56" s="10">
        <f t="shared" si="2"/>
        <v>10.81665383</v>
      </c>
      <c r="U56" s="4">
        <f t="shared" si="3"/>
        <v>5.85</v>
      </c>
      <c r="V56" s="4">
        <f t="shared" si="4"/>
        <v>0.09245004623</v>
      </c>
      <c r="W56" s="3" t="str">
        <f t="shared" si="14"/>
        <v>31,8 &amp; 117 &amp; 5,85 \pm 0,09 \\</v>
      </c>
    </row>
    <row r="57">
      <c r="A57" s="4">
        <f t="shared" si="10"/>
        <v>32</v>
      </c>
      <c r="B57" s="1">
        <v>130.0</v>
      </c>
      <c r="C57" s="3">
        <f t="shared" si="1"/>
        <v>6.5</v>
      </c>
      <c r="R57" s="4">
        <f t="shared" si="11"/>
        <v>32</v>
      </c>
      <c r="S57" s="1">
        <v>130.0</v>
      </c>
      <c r="T57" s="10">
        <f t="shared" si="2"/>
        <v>11.40175425</v>
      </c>
      <c r="U57" s="4">
        <f t="shared" si="3"/>
        <v>6.5</v>
      </c>
      <c r="V57" s="4">
        <f t="shared" si="4"/>
        <v>0.08770581618</v>
      </c>
      <c r="W57" s="3" t="str">
        <f t="shared" si="14"/>
        <v>32,0 &amp; 130 &amp; 6,50 \pm 0,09 \\</v>
      </c>
    </row>
    <row r="58">
      <c r="A58" s="4">
        <f t="shared" ref="A58:A60" si="18">A57+1</f>
        <v>33</v>
      </c>
      <c r="B58" s="1">
        <v>117.0</v>
      </c>
      <c r="C58" s="3">
        <f t="shared" si="1"/>
        <v>5.85</v>
      </c>
      <c r="R58" s="4">
        <f t="shared" ref="R58:R60" si="19">R57+1</f>
        <v>33</v>
      </c>
      <c r="S58" s="1">
        <v>117.0</v>
      </c>
      <c r="T58" s="10">
        <f t="shared" si="2"/>
        <v>10.81665383</v>
      </c>
      <c r="U58" s="4">
        <f t="shared" si="3"/>
        <v>5.85</v>
      </c>
      <c r="V58" s="4">
        <f t="shared" si="4"/>
        <v>0.09245004623</v>
      </c>
      <c r="W58" s="3" t="str">
        <f t="shared" si="14"/>
        <v>33,0 &amp; 117 &amp; 5,85 \pm 0,09 \\</v>
      </c>
    </row>
    <row r="59">
      <c r="A59" s="4">
        <f t="shared" si="18"/>
        <v>34</v>
      </c>
      <c r="B59" s="1">
        <v>121.0</v>
      </c>
      <c r="C59" s="3">
        <f t="shared" si="1"/>
        <v>6.05</v>
      </c>
      <c r="R59" s="4">
        <f t="shared" si="19"/>
        <v>34</v>
      </c>
      <c r="S59" s="1">
        <v>121.0</v>
      </c>
      <c r="T59" s="10">
        <f t="shared" si="2"/>
        <v>11</v>
      </c>
      <c r="U59" s="4">
        <f t="shared" si="3"/>
        <v>6.05</v>
      </c>
      <c r="V59" s="4">
        <f t="shared" si="4"/>
        <v>0.09090910466</v>
      </c>
      <c r="W59" s="3" t="str">
        <f t="shared" si="14"/>
        <v>34,0 &amp; 121 &amp; 6,05 \pm 0,09 \\</v>
      </c>
    </row>
    <row r="60">
      <c r="A60" s="4">
        <f t="shared" si="18"/>
        <v>35</v>
      </c>
      <c r="B60" s="1">
        <v>104.0</v>
      </c>
      <c r="C60" s="3">
        <f t="shared" si="1"/>
        <v>5.2</v>
      </c>
      <c r="R60" s="4">
        <f t="shared" si="19"/>
        <v>35</v>
      </c>
      <c r="S60" s="1">
        <v>104.0</v>
      </c>
      <c r="T60" s="10">
        <f t="shared" si="2"/>
        <v>10.19803903</v>
      </c>
      <c r="U60" s="11">
        <f t="shared" si="3"/>
        <v>5.2</v>
      </c>
      <c r="V60" s="11">
        <f t="shared" si="4"/>
        <v>0.09805808032</v>
      </c>
      <c r="W60" s="3" t="str">
        <f>CONCATENATE(TEXT(R60, "00.0"), " &amp; ", TEXT(S60, "#"), " &amp; ", TEXT(U60,"0.0"), " \pm ", TEXT(V60, "0.0"), " \\")</f>
        <v>35,0 &amp; 104 &amp; 5,2 \pm 0,1 \\</v>
      </c>
    </row>
    <row r="61">
      <c r="A61" s="4"/>
    </row>
    <row r="62">
      <c r="A62" s="4"/>
    </row>
    <row r="64">
      <c r="A64" s="1" t="s">
        <v>39</v>
      </c>
    </row>
    <row r="65">
      <c r="A65" s="1" t="s">
        <v>27</v>
      </c>
      <c r="B65" s="1" t="s">
        <v>6</v>
      </c>
      <c r="C65" s="1" t="s">
        <v>7</v>
      </c>
      <c r="N65" s="1" t="s">
        <v>27</v>
      </c>
      <c r="O65" s="1" t="s">
        <v>6</v>
      </c>
      <c r="Q65" s="1" t="s">
        <v>7</v>
      </c>
    </row>
    <row r="66">
      <c r="A66" s="5">
        <v>26.0</v>
      </c>
      <c r="B66" s="1">
        <v>22.0</v>
      </c>
      <c r="C66" s="3">
        <f t="shared" ref="C66:C102" si="20">B66/C$2</f>
        <v>1.1</v>
      </c>
      <c r="N66" s="5">
        <v>26.0</v>
      </c>
      <c r="O66" s="1">
        <v>22.0</v>
      </c>
      <c r="P66" s="10">
        <f t="shared" ref="P66:P102" si="21">SQRT(O66)</f>
        <v>4.69041576</v>
      </c>
      <c r="Q66" s="11">
        <f t="shared" ref="Q66:Q102" si="22">O66/C$2</f>
        <v>1.1</v>
      </c>
      <c r="R66" s="11">
        <f t="shared" ref="R66:R102" si="23">SQRT( (P66/O66)^2 + (0.001/20)^2)</f>
        <v>0.2132007222</v>
      </c>
      <c r="T66" s="3" t="str">
        <f t="shared" ref="T66:T89" si="24">CONCATENATE(TEXT(N66, "00.0"), " &amp; ", TEXT(O66, "#"), " &amp; ", TEXT(Q66,"0.0"), " \pm ", TEXT(R66, "0.0"), " \\")</f>
        <v>26,0 &amp; 22 &amp; 1,1 \pm 0,2 \\</v>
      </c>
    </row>
    <row r="67">
      <c r="A67" s="4">
        <f t="shared" ref="A67:A102" si="25">A66+(1/6)</f>
        <v>26.16666667</v>
      </c>
      <c r="B67" s="1">
        <v>22.0</v>
      </c>
      <c r="C67" s="3">
        <f t="shared" si="20"/>
        <v>1.1</v>
      </c>
      <c r="N67" s="4">
        <f t="shared" ref="N67:N102" si="26">N66+(1/6)</f>
        <v>26.16666667</v>
      </c>
      <c r="O67" s="1">
        <v>22.0</v>
      </c>
      <c r="P67" s="10">
        <f t="shared" si="21"/>
        <v>4.69041576</v>
      </c>
      <c r="Q67" s="11">
        <f t="shared" si="22"/>
        <v>1.1</v>
      </c>
      <c r="R67" s="11">
        <f t="shared" si="23"/>
        <v>0.2132007222</v>
      </c>
      <c r="T67" s="3" t="str">
        <f t="shared" si="24"/>
        <v>26,2 &amp; 22 &amp; 1,1 \pm 0,2 \\</v>
      </c>
    </row>
    <row r="68">
      <c r="A68" s="4">
        <f t="shared" si="25"/>
        <v>26.33333333</v>
      </c>
      <c r="B68" s="1">
        <v>21.0</v>
      </c>
      <c r="C68" s="3">
        <f t="shared" si="20"/>
        <v>1.05</v>
      </c>
      <c r="N68" s="4">
        <f t="shared" si="26"/>
        <v>26.33333333</v>
      </c>
      <c r="O68" s="1">
        <v>21.0</v>
      </c>
      <c r="P68" s="10">
        <f t="shared" si="21"/>
        <v>4.582575695</v>
      </c>
      <c r="Q68" s="11">
        <f t="shared" si="22"/>
        <v>1.05</v>
      </c>
      <c r="R68" s="11">
        <f t="shared" si="23"/>
        <v>0.218217896</v>
      </c>
      <c r="T68" s="3" t="str">
        <f t="shared" si="24"/>
        <v>26,3 &amp; 21 &amp; 1,1 \pm 0,2 \\</v>
      </c>
    </row>
    <row r="69">
      <c r="A69" s="4">
        <f t="shared" si="25"/>
        <v>26.5</v>
      </c>
      <c r="B69" s="1">
        <v>36.0</v>
      </c>
      <c r="C69" s="3">
        <f t="shared" si="20"/>
        <v>1.8</v>
      </c>
      <c r="N69" s="4">
        <f t="shared" si="26"/>
        <v>26.5</v>
      </c>
      <c r="O69" s="1">
        <v>36.0</v>
      </c>
      <c r="P69" s="10">
        <f t="shared" si="21"/>
        <v>6</v>
      </c>
      <c r="Q69" s="11">
        <f t="shared" si="22"/>
        <v>1.8</v>
      </c>
      <c r="R69" s="11">
        <f t="shared" si="23"/>
        <v>0.1666666742</v>
      </c>
      <c r="T69" s="3" t="str">
        <f t="shared" si="24"/>
        <v>26,5 &amp; 36 &amp; 1,8 \pm 0,2 \\</v>
      </c>
    </row>
    <row r="70">
      <c r="A70" s="4">
        <f t="shared" si="25"/>
        <v>26.66666667</v>
      </c>
      <c r="B70" s="1">
        <v>32.0</v>
      </c>
      <c r="C70" s="3">
        <f t="shared" si="20"/>
        <v>1.6</v>
      </c>
      <c r="N70" s="4">
        <f t="shared" si="26"/>
        <v>26.66666667</v>
      </c>
      <c r="O70" s="1">
        <v>32.0</v>
      </c>
      <c r="P70" s="10">
        <f t="shared" si="21"/>
        <v>5.656854249</v>
      </c>
      <c r="Q70" s="11">
        <f t="shared" si="22"/>
        <v>1.6</v>
      </c>
      <c r="R70" s="11">
        <f t="shared" si="23"/>
        <v>0.1767767024</v>
      </c>
      <c r="T70" s="3" t="str">
        <f t="shared" si="24"/>
        <v>26,7 &amp; 32 &amp; 1,6 \pm 0,2 \\</v>
      </c>
    </row>
    <row r="71">
      <c r="A71" s="4">
        <f t="shared" si="25"/>
        <v>26.83333333</v>
      </c>
      <c r="B71" s="1">
        <v>32.0</v>
      </c>
      <c r="C71" s="3">
        <f t="shared" si="20"/>
        <v>1.6</v>
      </c>
      <c r="N71" s="4">
        <f t="shared" si="26"/>
        <v>26.83333333</v>
      </c>
      <c r="O71" s="1">
        <v>32.0</v>
      </c>
      <c r="P71" s="10">
        <f t="shared" si="21"/>
        <v>5.656854249</v>
      </c>
      <c r="Q71" s="11">
        <f t="shared" si="22"/>
        <v>1.6</v>
      </c>
      <c r="R71" s="11">
        <f t="shared" si="23"/>
        <v>0.1767767024</v>
      </c>
      <c r="T71" s="3" t="str">
        <f t="shared" si="24"/>
        <v>26,8 &amp; 32 &amp; 1,6 \pm 0,2 \\</v>
      </c>
    </row>
    <row r="72">
      <c r="A72" s="4">
        <f t="shared" si="25"/>
        <v>27</v>
      </c>
      <c r="B72" s="1">
        <v>28.0</v>
      </c>
      <c r="C72" s="3">
        <f t="shared" si="20"/>
        <v>1.4</v>
      </c>
      <c r="N72" s="4">
        <f t="shared" si="26"/>
        <v>27</v>
      </c>
      <c r="O72" s="1">
        <v>28.0</v>
      </c>
      <c r="P72" s="10">
        <f t="shared" si="21"/>
        <v>5.291502622</v>
      </c>
      <c r="Q72" s="11">
        <f t="shared" si="22"/>
        <v>1.4</v>
      </c>
      <c r="R72" s="11">
        <f t="shared" si="23"/>
        <v>0.1889822431</v>
      </c>
      <c r="T72" s="3" t="str">
        <f t="shared" si="24"/>
        <v>27,0 &amp; 28 &amp; 1,4 \pm 0,2 \\</v>
      </c>
    </row>
    <row r="73">
      <c r="A73" s="4">
        <f t="shared" si="25"/>
        <v>27.16666667</v>
      </c>
      <c r="B73" s="1">
        <v>25.0</v>
      </c>
      <c r="C73" s="3">
        <f t="shared" si="20"/>
        <v>1.25</v>
      </c>
      <c r="N73" s="4">
        <f t="shared" si="26"/>
        <v>27.16666667</v>
      </c>
      <c r="O73" s="1">
        <v>25.0</v>
      </c>
      <c r="P73" s="10">
        <f t="shared" si="21"/>
        <v>5</v>
      </c>
      <c r="Q73" s="11">
        <f t="shared" si="22"/>
        <v>1.25</v>
      </c>
      <c r="R73" s="11">
        <f t="shared" si="23"/>
        <v>0.2000000063</v>
      </c>
      <c r="T73" s="3" t="str">
        <f t="shared" si="24"/>
        <v>27,2 &amp; 25 &amp; 1,3 \pm 0,2 \\</v>
      </c>
    </row>
    <row r="74">
      <c r="A74" s="4">
        <f t="shared" si="25"/>
        <v>27.33333333</v>
      </c>
      <c r="B74" s="1">
        <v>42.0</v>
      </c>
      <c r="C74" s="3">
        <f t="shared" si="20"/>
        <v>2.1</v>
      </c>
      <c r="N74" s="4">
        <f t="shared" si="26"/>
        <v>27.33333333</v>
      </c>
      <c r="O74" s="1">
        <v>42.0</v>
      </c>
      <c r="P74" s="10">
        <f t="shared" si="21"/>
        <v>6.480740698</v>
      </c>
      <c r="Q74" s="11">
        <f t="shared" si="22"/>
        <v>2.1</v>
      </c>
      <c r="R74" s="11">
        <f t="shared" si="23"/>
        <v>0.1543033581</v>
      </c>
      <c r="T74" s="3" t="str">
        <f t="shared" si="24"/>
        <v>27,3 &amp; 42 &amp; 2,1 \pm 0,2 \\</v>
      </c>
    </row>
    <row r="75">
      <c r="A75" s="4">
        <f t="shared" si="25"/>
        <v>27.5</v>
      </c>
      <c r="B75" s="1">
        <v>47.0</v>
      </c>
      <c r="C75" s="3">
        <f t="shared" si="20"/>
        <v>2.35</v>
      </c>
      <c r="N75" s="4">
        <f t="shared" si="26"/>
        <v>27.5</v>
      </c>
      <c r="O75" s="1">
        <v>47.0</v>
      </c>
      <c r="P75" s="10">
        <f t="shared" si="21"/>
        <v>6.8556546</v>
      </c>
      <c r="Q75" s="11">
        <f t="shared" si="22"/>
        <v>2.35</v>
      </c>
      <c r="R75" s="11">
        <f t="shared" si="23"/>
        <v>0.1458650001</v>
      </c>
      <c r="T75" s="3" t="str">
        <f t="shared" si="24"/>
        <v>27,5 &amp; 47 &amp; 2,4 \pm 0,1 \\</v>
      </c>
    </row>
    <row r="76">
      <c r="A76" s="4">
        <f t="shared" si="25"/>
        <v>27.66666667</v>
      </c>
      <c r="B76" s="1">
        <v>33.0</v>
      </c>
      <c r="C76" s="3">
        <f t="shared" si="20"/>
        <v>1.65</v>
      </c>
      <c r="N76" s="4">
        <f t="shared" si="26"/>
        <v>27.66666667</v>
      </c>
      <c r="O76" s="1">
        <v>33.0</v>
      </c>
      <c r="P76" s="10">
        <f t="shared" si="21"/>
        <v>5.744562647</v>
      </c>
      <c r="Q76" s="11">
        <f t="shared" si="22"/>
        <v>1.65</v>
      </c>
      <c r="R76" s="11">
        <f t="shared" si="23"/>
        <v>0.1740776631</v>
      </c>
      <c r="T76" s="3" t="str">
        <f t="shared" si="24"/>
        <v>27,7 &amp; 33 &amp; 1,7 \pm 0,2 \\</v>
      </c>
    </row>
    <row r="77">
      <c r="A77" s="4">
        <f t="shared" si="25"/>
        <v>27.83333333</v>
      </c>
      <c r="B77" s="1">
        <v>49.0</v>
      </c>
      <c r="C77" s="3">
        <f t="shared" si="20"/>
        <v>2.45</v>
      </c>
      <c r="N77" s="4">
        <f t="shared" si="26"/>
        <v>27.83333333</v>
      </c>
      <c r="O77" s="1">
        <v>49.0</v>
      </c>
      <c r="P77" s="10">
        <f t="shared" si="21"/>
        <v>7</v>
      </c>
      <c r="Q77" s="11">
        <f t="shared" si="22"/>
        <v>2.45</v>
      </c>
      <c r="R77" s="11">
        <f t="shared" si="23"/>
        <v>0.1428571516</v>
      </c>
      <c r="T77" s="3" t="str">
        <f t="shared" si="24"/>
        <v>27,8 &amp; 49 &amp; 2,5 \pm 0,1 \\</v>
      </c>
    </row>
    <row r="78">
      <c r="A78" s="4">
        <f t="shared" si="25"/>
        <v>28</v>
      </c>
      <c r="B78" s="1">
        <v>28.0</v>
      </c>
      <c r="C78" s="3">
        <f t="shared" si="20"/>
        <v>1.4</v>
      </c>
      <c r="N78" s="4">
        <f t="shared" si="26"/>
        <v>28</v>
      </c>
      <c r="O78" s="1">
        <v>28.0</v>
      </c>
      <c r="P78" s="10">
        <f t="shared" si="21"/>
        <v>5.291502622</v>
      </c>
      <c r="Q78" s="11">
        <f t="shared" si="22"/>
        <v>1.4</v>
      </c>
      <c r="R78" s="11">
        <f t="shared" si="23"/>
        <v>0.1889822431</v>
      </c>
      <c r="T78" s="3" t="str">
        <f t="shared" si="24"/>
        <v>28,0 &amp; 28 &amp; 1,4 \pm 0,2 \\</v>
      </c>
    </row>
    <row r="79">
      <c r="A79" s="4">
        <f t="shared" si="25"/>
        <v>28.16666667</v>
      </c>
      <c r="B79" s="1">
        <v>35.0</v>
      </c>
      <c r="C79" s="3">
        <f t="shared" si="20"/>
        <v>1.75</v>
      </c>
      <c r="N79" s="4">
        <f t="shared" si="26"/>
        <v>28.16666667</v>
      </c>
      <c r="O79" s="1">
        <v>35.0</v>
      </c>
      <c r="P79" s="10">
        <f t="shared" si="21"/>
        <v>5.916079783</v>
      </c>
      <c r="Q79" s="11">
        <f t="shared" si="22"/>
        <v>1.75</v>
      </c>
      <c r="R79" s="11">
        <f t="shared" si="23"/>
        <v>0.1690308583</v>
      </c>
      <c r="T79" s="3" t="str">
        <f t="shared" si="24"/>
        <v>28,2 &amp; 35 &amp; 1,8 \pm 0,2 \\</v>
      </c>
    </row>
    <row r="80">
      <c r="A80" s="4">
        <f t="shared" si="25"/>
        <v>28.33333333</v>
      </c>
      <c r="B80" s="1">
        <v>37.0</v>
      </c>
      <c r="C80" s="3">
        <f t="shared" si="20"/>
        <v>1.85</v>
      </c>
      <c r="N80" s="4">
        <f t="shared" si="26"/>
        <v>28.33333333</v>
      </c>
      <c r="O80" s="1">
        <v>37.0</v>
      </c>
      <c r="P80" s="10">
        <f t="shared" si="21"/>
        <v>6.08276253</v>
      </c>
      <c r="Q80" s="11">
        <f t="shared" si="22"/>
        <v>1.85</v>
      </c>
      <c r="R80" s="11">
        <f t="shared" si="23"/>
        <v>0.1643989949</v>
      </c>
      <c r="T80" s="3" t="str">
        <f t="shared" si="24"/>
        <v>28,3 &amp; 37 &amp; 1,9 \pm 0,2 \\</v>
      </c>
    </row>
    <row r="81">
      <c r="A81" s="4">
        <f t="shared" si="25"/>
        <v>28.5</v>
      </c>
      <c r="B81" s="1">
        <v>37.0</v>
      </c>
      <c r="C81" s="3">
        <f t="shared" si="20"/>
        <v>1.85</v>
      </c>
      <c r="N81" s="4">
        <f t="shared" si="26"/>
        <v>28.5</v>
      </c>
      <c r="O81" s="1">
        <v>37.0</v>
      </c>
      <c r="P81" s="10">
        <f t="shared" si="21"/>
        <v>6.08276253</v>
      </c>
      <c r="Q81" s="11">
        <f t="shared" si="22"/>
        <v>1.85</v>
      </c>
      <c r="R81" s="11">
        <f t="shared" si="23"/>
        <v>0.1643989949</v>
      </c>
      <c r="T81" s="3" t="str">
        <f t="shared" si="24"/>
        <v>28,5 &amp; 37 &amp; 1,9 \pm 0,2 \\</v>
      </c>
    </row>
    <row r="82">
      <c r="A82" s="4">
        <f t="shared" si="25"/>
        <v>28.66666667</v>
      </c>
      <c r="B82" s="1">
        <v>35.0</v>
      </c>
      <c r="C82" s="3">
        <f t="shared" si="20"/>
        <v>1.75</v>
      </c>
      <c r="N82" s="4">
        <f t="shared" si="26"/>
        <v>28.66666667</v>
      </c>
      <c r="O82" s="1">
        <v>35.0</v>
      </c>
      <c r="P82" s="10">
        <f t="shared" si="21"/>
        <v>5.916079783</v>
      </c>
      <c r="Q82" s="11">
        <f t="shared" si="22"/>
        <v>1.75</v>
      </c>
      <c r="R82" s="11">
        <f t="shared" si="23"/>
        <v>0.1690308583</v>
      </c>
      <c r="T82" s="3" t="str">
        <f t="shared" si="24"/>
        <v>28,7 &amp; 35 &amp; 1,8 \pm 0,2 \\</v>
      </c>
    </row>
    <row r="83">
      <c r="A83" s="4">
        <f t="shared" si="25"/>
        <v>28.83333333</v>
      </c>
      <c r="B83" s="1">
        <v>33.0</v>
      </c>
      <c r="C83" s="3">
        <f t="shared" si="20"/>
        <v>1.65</v>
      </c>
      <c r="N83" s="4">
        <f t="shared" si="26"/>
        <v>28.83333333</v>
      </c>
      <c r="O83" s="1">
        <v>33.0</v>
      </c>
      <c r="P83" s="10">
        <f t="shared" si="21"/>
        <v>5.744562647</v>
      </c>
      <c r="Q83" s="11">
        <f t="shared" si="22"/>
        <v>1.65</v>
      </c>
      <c r="R83" s="11">
        <f t="shared" si="23"/>
        <v>0.1740776631</v>
      </c>
      <c r="T83" s="3" t="str">
        <f t="shared" si="24"/>
        <v>28,8 &amp; 33 &amp; 1,7 \pm 0,2 \\</v>
      </c>
    </row>
    <row r="84">
      <c r="A84" s="4">
        <f t="shared" si="25"/>
        <v>29</v>
      </c>
      <c r="B84" s="1">
        <v>34.0</v>
      </c>
      <c r="C84" s="3">
        <f t="shared" si="20"/>
        <v>1.7</v>
      </c>
      <c r="N84" s="4">
        <f t="shared" si="26"/>
        <v>29</v>
      </c>
      <c r="O84" s="1">
        <v>34.0</v>
      </c>
      <c r="P84" s="10">
        <f t="shared" si="21"/>
        <v>5.830951895</v>
      </c>
      <c r="Q84" s="11">
        <f t="shared" si="22"/>
        <v>1.7</v>
      </c>
      <c r="R84" s="11">
        <f t="shared" si="23"/>
        <v>0.1714985924</v>
      </c>
      <c r="T84" s="3" t="str">
        <f t="shared" si="24"/>
        <v>29,0 &amp; 34 &amp; 1,7 \pm 0,2 \\</v>
      </c>
    </row>
    <row r="85">
      <c r="A85" s="4">
        <f t="shared" si="25"/>
        <v>29.16666667</v>
      </c>
      <c r="B85" s="1">
        <v>50.0</v>
      </c>
      <c r="C85" s="3">
        <f t="shared" si="20"/>
        <v>2.5</v>
      </c>
      <c r="N85" s="4">
        <f t="shared" si="26"/>
        <v>29.16666667</v>
      </c>
      <c r="O85" s="1">
        <v>50.0</v>
      </c>
      <c r="P85" s="10">
        <f t="shared" si="21"/>
        <v>7.071067812</v>
      </c>
      <c r="Q85" s="11">
        <f t="shared" si="22"/>
        <v>2.5</v>
      </c>
      <c r="R85" s="11">
        <f t="shared" si="23"/>
        <v>0.1414213651</v>
      </c>
      <c r="T85" s="3" t="str">
        <f t="shared" si="24"/>
        <v>29,2 &amp; 50 &amp; 2,5 \pm 0,1 \\</v>
      </c>
    </row>
    <row r="86">
      <c r="A86" s="4">
        <f t="shared" si="25"/>
        <v>29.33333333</v>
      </c>
      <c r="B86" s="1">
        <v>31.0</v>
      </c>
      <c r="C86" s="3">
        <f t="shared" si="20"/>
        <v>1.55</v>
      </c>
      <c r="N86" s="4">
        <f t="shared" si="26"/>
        <v>29.33333333</v>
      </c>
      <c r="O86" s="1">
        <v>31.0</v>
      </c>
      <c r="P86" s="10">
        <f t="shared" si="21"/>
        <v>5.567764363</v>
      </c>
      <c r="Q86" s="11">
        <f t="shared" si="22"/>
        <v>1.55</v>
      </c>
      <c r="R86" s="11">
        <f t="shared" si="23"/>
        <v>0.179605309</v>
      </c>
      <c r="T86" s="3" t="str">
        <f t="shared" si="24"/>
        <v>29,3 &amp; 31 &amp; 1,6 \pm 0,2 \\</v>
      </c>
    </row>
    <row r="87">
      <c r="A87" s="4">
        <f t="shared" si="25"/>
        <v>29.5</v>
      </c>
      <c r="B87" s="1">
        <v>42.0</v>
      </c>
      <c r="C87" s="3">
        <f t="shared" si="20"/>
        <v>2.1</v>
      </c>
      <c r="N87" s="4">
        <f t="shared" si="26"/>
        <v>29.5</v>
      </c>
      <c r="O87" s="1">
        <v>42.0</v>
      </c>
      <c r="P87" s="10">
        <f t="shared" si="21"/>
        <v>6.480740698</v>
      </c>
      <c r="Q87" s="11">
        <f t="shared" si="22"/>
        <v>2.1</v>
      </c>
      <c r="R87" s="11">
        <f t="shared" si="23"/>
        <v>0.1543033581</v>
      </c>
      <c r="T87" s="3" t="str">
        <f t="shared" si="24"/>
        <v>29,5 &amp; 42 &amp; 2,1 \pm 0,2 \\</v>
      </c>
    </row>
    <row r="88">
      <c r="A88" s="4">
        <f t="shared" si="25"/>
        <v>29.66666667</v>
      </c>
      <c r="B88" s="1">
        <v>48.0</v>
      </c>
      <c r="C88" s="3">
        <f t="shared" si="20"/>
        <v>2.4</v>
      </c>
      <c r="N88" s="4">
        <f t="shared" si="26"/>
        <v>29.66666667</v>
      </c>
      <c r="O88" s="1">
        <v>48.0</v>
      </c>
      <c r="P88" s="10">
        <f t="shared" si="21"/>
        <v>6.92820323</v>
      </c>
      <c r="Q88" s="11">
        <f t="shared" si="22"/>
        <v>2.4</v>
      </c>
      <c r="R88" s="11">
        <f t="shared" si="23"/>
        <v>0.144337576</v>
      </c>
      <c r="T88" s="3" t="str">
        <f t="shared" si="24"/>
        <v>29,7 &amp; 48 &amp; 2,4 \pm 0,1 \\</v>
      </c>
    </row>
    <row r="89">
      <c r="A89" s="4">
        <f t="shared" si="25"/>
        <v>29.83333333</v>
      </c>
      <c r="B89" s="1">
        <v>66.0</v>
      </c>
      <c r="C89" s="3">
        <f t="shared" si="20"/>
        <v>3.3</v>
      </c>
      <c r="N89" s="4">
        <f t="shared" si="26"/>
        <v>29.83333333</v>
      </c>
      <c r="O89" s="1">
        <v>66.0</v>
      </c>
      <c r="P89" s="10">
        <f t="shared" si="21"/>
        <v>8.124038405</v>
      </c>
      <c r="Q89" s="11">
        <f t="shared" si="22"/>
        <v>3.3</v>
      </c>
      <c r="R89" s="11">
        <f t="shared" si="23"/>
        <v>0.1230915011</v>
      </c>
      <c r="T89" s="3" t="str">
        <f t="shared" si="24"/>
        <v>29,8 &amp; 66 &amp; 3,3 \pm 0,1 \\</v>
      </c>
    </row>
    <row r="90">
      <c r="A90" s="4">
        <f t="shared" si="25"/>
        <v>30</v>
      </c>
      <c r="B90" s="1">
        <v>184.0</v>
      </c>
      <c r="C90" s="3">
        <f t="shared" si="20"/>
        <v>9.2</v>
      </c>
      <c r="N90" s="4">
        <f t="shared" si="26"/>
        <v>30</v>
      </c>
      <c r="O90" s="1">
        <v>184.0</v>
      </c>
      <c r="P90" s="10">
        <f t="shared" si="21"/>
        <v>13.56465997</v>
      </c>
      <c r="Q90" s="4">
        <f t="shared" si="22"/>
        <v>9.2</v>
      </c>
      <c r="R90" s="4">
        <f t="shared" si="23"/>
        <v>0.07372099503</v>
      </c>
      <c r="T90" s="3" t="str">
        <f t="shared" ref="T90:T99" si="27">CONCATENATE(TEXT(N90, "00.0"), " &amp; ", TEXT(O90, "#"), " &amp; ", TEXT(Q90,"0.00"), " \pm ", TEXT(R90, "0.00"), " \\")</f>
        <v>30,0 &amp; 184 &amp; 9,20 \pm 0,07 \\</v>
      </c>
    </row>
    <row r="91">
      <c r="A91" s="4">
        <f t="shared" si="25"/>
        <v>30.16666667</v>
      </c>
      <c r="B91" s="1">
        <v>302.0</v>
      </c>
      <c r="C91" s="3">
        <f t="shared" si="20"/>
        <v>15.1</v>
      </c>
      <c r="N91" s="4">
        <f t="shared" si="26"/>
        <v>30.16666667</v>
      </c>
      <c r="O91" s="1">
        <v>302.0</v>
      </c>
      <c r="P91" s="10">
        <f t="shared" si="21"/>
        <v>17.3781472</v>
      </c>
      <c r="Q91" s="4">
        <f t="shared" si="22"/>
        <v>15.1</v>
      </c>
      <c r="R91" s="4">
        <f t="shared" si="23"/>
        <v>0.05754355549</v>
      </c>
      <c r="T91" s="3" t="str">
        <f t="shared" si="27"/>
        <v>30,2 &amp; 302 &amp; 15,10 \pm 0,06 \\</v>
      </c>
    </row>
    <row r="92">
      <c r="A92" s="4">
        <f t="shared" si="25"/>
        <v>30.33333333</v>
      </c>
      <c r="B92" s="1">
        <v>456.0</v>
      </c>
      <c r="C92" s="3">
        <f t="shared" si="20"/>
        <v>22.8</v>
      </c>
      <c r="N92" s="4">
        <f t="shared" si="26"/>
        <v>30.33333333</v>
      </c>
      <c r="O92" s="1">
        <v>456.0</v>
      </c>
      <c r="P92" s="10">
        <f t="shared" si="21"/>
        <v>21.3541565</v>
      </c>
      <c r="Q92" s="4">
        <f t="shared" si="22"/>
        <v>22.8</v>
      </c>
      <c r="R92" s="4">
        <f t="shared" si="23"/>
        <v>0.04682931727</v>
      </c>
      <c r="T92" s="3" t="str">
        <f t="shared" si="27"/>
        <v>30,3 &amp; 456 &amp; 22,80 \pm 0,05 \\</v>
      </c>
    </row>
    <row r="93">
      <c r="A93" s="4">
        <f t="shared" si="25"/>
        <v>30.5</v>
      </c>
      <c r="B93" s="1">
        <v>613.0</v>
      </c>
      <c r="C93" s="3">
        <f t="shared" si="20"/>
        <v>30.65</v>
      </c>
      <c r="N93" s="4">
        <f t="shared" si="26"/>
        <v>30.5</v>
      </c>
      <c r="O93" s="1">
        <v>613.0</v>
      </c>
      <c r="P93" s="10">
        <f t="shared" si="21"/>
        <v>24.75883681</v>
      </c>
      <c r="Q93" s="4">
        <f t="shared" si="22"/>
        <v>30.65</v>
      </c>
      <c r="R93" s="4">
        <f t="shared" si="23"/>
        <v>0.04038965053</v>
      </c>
      <c r="T93" s="3" t="str">
        <f t="shared" si="27"/>
        <v>30,5 &amp; 613 &amp; 30,65 \pm 0,04 \\</v>
      </c>
    </row>
    <row r="94">
      <c r="A94" s="15">
        <f t="shared" si="25"/>
        <v>30.66666667</v>
      </c>
      <c r="B94" s="1">
        <v>702.0</v>
      </c>
      <c r="C94" s="3">
        <f t="shared" si="20"/>
        <v>35.1</v>
      </c>
      <c r="N94" s="4">
        <f t="shared" si="26"/>
        <v>30.66666667</v>
      </c>
      <c r="O94" s="1">
        <v>702.0</v>
      </c>
      <c r="P94" s="10">
        <f t="shared" si="21"/>
        <v>26.4952826</v>
      </c>
      <c r="Q94" s="4">
        <f t="shared" si="22"/>
        <v>35.1</v>
      </c>
      <c r="R94" s="4">
        <f t="shared" si="23"/>
        <v>0.03774260092</v>
      </c>
      <c r="T94" s="3" t="str">
        <f t="shared" si="27"/>
        <v>30,7 &amp; 702 &amp; 35,10 \pm 0,04 \\</v>
      </c>
    </row>
    <row r="95">
      <c r="A95" s="4">
        <f t="shared" si="25"/>
        <v>30.83333333</v>
      </c>
      <c r="B95" s="1">
        <v>584.0</v>
      </c>
      <c r="C95" s="3">
        <f t="shared" si="20"/>
        <v>29.2</v>
      </c>
      <c r="N95" s="4">
        <f t="shared" si="26"/>
        <v>30.83333333</v>
      </c>
      <c r="O95" s="1">
        <v>584.0</v>
      </c>
      <c r="P95" s="10">
        <f t="shared" si="21"/>
        <v>24.16609195</v>
      </c>
      <c r="Q95" s="4">
        <f t="shared" si="22"/>
        <v>29.2</v>
      </c>
      <c r="R95" s="4">
        <f t="shared" si="23"/>
        <v>0.04138032464</v>
      </c>
      <c r="T95" s="3" t="str">
        <f t="shared" si="27"/>
        <v>30,8 &amp; 584 &amp; 29,20 \pm 0,04 \\</v>
      </c>
    </row>
    <row r="96">
      <c r="A96" s="4">
        <f t="shared" si="25"/>
        <v>31</v>
      </c>
      <c r="B96" s="1">
        <v>487.0</v>
      </c>
      <c r="C96" s="3">
        <f t="shared" si="20"/>
        <v>24.35</v>
      </c>
      <c r="N96" s="4">
        <f t="shared" si="26"/>
        <v>31</v>
      </c>
      <c r="O96" s="1">
        <v>487.0</v>
      </c>
      <c r="P96" s="10">
        <f t="shared" si="21"/>
        <v>22.06807649</v>
      </c>
      <c r="Q96" s="4">
        <f t="shared" si="22"/>
        <v>24.35</v>
      </c>
      <c r="R96" s="4">
        <f t="shared" si="23"/>
        <v>0.04531435303</v>
      </c>
      <c r="T96" s="3" t="str">
        <f t="shared" si="27"/>
        <v>31,0 &amp; 487 &amp; 24,35 \pm 0,05 \\</v>
      </c>
    </row>
    <row r="97">
      <c r="A97" s="4">
        <f t="shared" si="25"/>
        <v>31.16666667</v>
      </c>
      <c r="B97" s="1">
        <v>375.0</v>
      </c>
      <c r="C97" s="3">
        <f t="shared" si="20"/>
        <v>18.75</v>
      </c>
      <c r="N97" s="4">
        <f t="shared" si="26"/>
        <v>31.16666667</v>
      </c>
      <c r="O97" s="1">
        <v>375.0</v>
      </c>
      <c r="P97" s="10">
        <f t="shared" si="21"/>
        <v>19.36491673</v>
      </c>
      <c r="Q97" s="4">
        <f t="shared" si="22"/>
        <v>18.75</v>
      </c>
      <c r="R97" s="4">
        <f t="shared" si="23"/>
        <v>0.05163980216</v>
      </c>
      <c r="T97" s="3" t="str">
        <f t="shared" si="27"/>
        <v>31,2 &amp; 375 &amp; 18,75 \pm 0,05 \\</v>
      </c>
    </row>
    <row r="98">
      <c r="A98" s="4">
        <f t="shared" si="25"/>
        <v>31.33333333</v>
      </c>
      <c r="B98" s="1">
        <v>218.0</v>
      </c>
      <c r="C98" s="3">
        <f t="shared" si="20"/>
        <v>10.9</v>
      </c>
      <c r="N98" s="4">
        <f t="shared" si="26"/>
        <v>31.33333333</v>
      </c>
      <c r="O98" s="1">
        <v>218.0</v>
      </c>
      <c r="P98" s="10">
        <f t="shared" si="21"/>
        <v>14.76482306</v>
      </c>
      <c r="Q98" s="4">
        <f t="shared" si="22"/>
        <v>10.9</v>
      </c>
      <c r="R98" s="4">
        <f t="shared" si="23"/>
        <v>0.0677285646</v>
      </c>
      <c r="T98" s="3" t="str">
        <f t="shared" si="27"/>
        <v>31,3 &amp; 218 &amp; 10,90 \pm 0,07 \\</v>
      </c>
    </row>
    <row r="99">
      <c r="A99" s="4">
        <f t="shared" si="25"/>
        <v>31.5</v>
      </c>
      <c r="B99" s="1">
        <v>115.0</v>
      </c>
      <c r="C99" s="3">
        <f t="shared" si="20"/>
        <v>5.75</v>
      </c>
      <c r="N99" s="4">
        <f t="shared" si="26"/>
        <v>31.5</v>
      </c>
      <c r="O99" s="1">
        <v>115.0</v>
      </c>
      <c r="P99" s="10">
        <f t="shared" si="21"/>
        <v>10.72380529</v>
      </c>
      <c r="Q99" s="4">
        <f t="shared" si="22"/>
        <v>5.75</v>
      </c>
      <c r="R99" s="4">
        <f t="shared" si="23"/>
        <v>0.09325049423</v>
      </c>
      <c r="T99" s="3" t="str">
        <f t="shared" si="27"/>
        <v>31,5 &amp; 115 &amp; 5,75 \pm 0,09 \\</v>
      </c>
    </row>
    <row r="100">
      <c r="A100" s="4">
        <f t="shared" si="25"/>
        <v>31.66666667</v>
      </c>
      <c r="B100" s="1">
        <v>48.0</v>
      </c>
      <c r="C100" s="3">
        <f t="shared" si="20"/>
        <v>2.4</v>
      </c>
      <c r="N100" s="4">
        <f t="shared" si="26"/>
        <v>31.66666667</v>
      </c>
      <c r="O100" s="1">
        <v>48.0</v>
      </c>
      <c r="P100" s="10">
        <f t="shared" si="21"/>
        <v>6.92820323</v>
      </c>
      <c r="Q100" s="11">
        <f t="shared" si="22"/>
        <v>2.4</v>
      </c>
      <c r="R100" s="11">
        <f t="shared" si="23"/>
        <v>0.144337576</v>
      </c>
      <c r="T100" s="3" t="str">
        <f t="shared" ref="T100:T102" si="28">CONCATENATE(TEXT(N100, "00.0"), " &amp; ", TEXT(O100, "#"), " &amp; ", TEXT(Q100,"0.0"), " \pm ", TEXT(R100, "0.0"), " \\")</f>
        <v>31,7 &amp; 48 &amp; 2,4 \pm 0,1 \\</v>
      </c>
    </row>
    <row r="101">
      <c r="A101" s="4">
        <f t="shared" si="25"/>
        <v>31.83333333</v>
      </c>
      <c r="B101" s="1">
        <v>53.0</v>
      </c>
      <c r="C101" s="3">
        <f t="shared" si="20"/>
        <v>2.65</v>
      </c>
      <c r="N101" s="4">
        <f t="shared" si="26"/>
        <v>31.83333333</v>
      </c>
      <c r="O101" s="1">
        <v>53.0</v>
      </c>
      <c r="P101" s="10">
        <f t="shared" si="21"/>
        <v>7.280109889</v>
      </c>
      <c r="Q101" s="11">
        <f t="shared" si="22"/>
        <v>2.65</v>
      </c>
      <c r="R101" s="11">
        <f t="shared" si="23"/>
        <v>0.137360573</v>
      </c>
      <c r="T101" s="3" t="str">
        <f t="shared" si="28"/>
        <v>31,8 &amp; 53 &amp; 2,7 \pm 0,1 \\</v>
      </c>
    </row>
    <row r="102">
      <c r="A102" s="4">
        <f t="shared" si="25"/>
        <v>32</v>
      </c>
      <c r="B102" s="1">
        <v>44.0</v>
      </c>
      <c r="C102" s="3">
        <f t="shared" si="20"/>
        <v>2.2</v>
      </c>
      <c r="N102" s="4">
        <f t="shared" si="26"/>
        <v>32</v>
      </c>
      <c r="O102" s="1">
        <v>44.0</v>
      </c>
      <c r="P102" s="10">
        <f t="shared" si="21"/>
        <v>6.633249581</v>
      </c>
      <c r="Q102" s="11">
        <f t="shared" si="22"/>
        <v>2.2</v>
      </c>
      <c r="R102" s="11">
        <f t="shared" si="23"/>
        <v>0.1507556806</v>
      </c>
      <c r="T102" s="3" t="str">
        <f t="shared" si="28"/>
        <v>32,0 &amp; 44 &amp; 2,2 \pm 0,2 \\</v>
      </c>
    </row>
    <row r="107">
      <c r="A107" s="1" t="s">
        <v>40</v>
      </c>
      <c r="N107" s="1" t="s">
        <v>40</v>
      </c>
    </row>
    <row r="108">
      <c r="A108" s="1" t="s">
        <v>27</v>
      </c>
      <c r="B108" s="1" t="s">
        <v>6</v>
      </c>
      <c r="C108" s="1" t="s">
        <v>7</v>
      </c>
      <c r="N108" s="1" t="s">
        <v>27</v>
      </c>
      <c r="O108" s="1" t="s">
        <v>6</v>
      </c>
      <c r="Q108" s="1" t="s">
        <v>7</v>
      </c>
    </row>
    <row r="109">
      <c r="A109" s="5">
        <v>26.0</v>
      </c>
      <c r="B109" s="1">
        <v>30.0</v>
      </c>
      <c r="C109" s="3">
        <f t="shared" ref="C109:C125" si="29">B109/C$2</f>
        <v>1.5</v>
      </c>
      <c r="N109" s="5">
        <v>26.0</v>
      </c>
      <c r="O109" s="1">
        <v>30.0</v>
      </c>
      <c r="P109" s="10">
        <f t="shared" ref="P109:P125" si="30">SQRT(O109)</f>
        <v>5.477225575</v>
      </c>
      <c r="Q109" s="11">
        <f t="shared" ref="Q109:Q125" si="31">O109/C$2</f>
        <v>1.5</v>
      </c>
      <c r="R109" s="11">
        <f t="shared" ref="R109:R125" si="32">SQRT( (P109/O109)^2 + (0.001/20)^2)</f>
        <v>0.1825741927</v>
      </c>
      <c r="T109" s="3" t="str">
        <f t="shared" ref="T109:T112" si="33">CONCATENATE(TEXT(N109, "00.0"), " &amp; ", TEXT(O109, "#"), " &amp; ", TEXT(Q109,"0.0"), " \pm ", TEXT(R109, "0.0"), " \\")</f>
        <v>26,0 &amp; 30 &amp; 1,5 \pm 0,2 \\</v>
      </c>
    </row>
    <row r="110">
      <c r="A110" s="5">
        <v>26.17</v>
      </c>
      <c r="B110" s="1">
        <v>24.0</v>
      </c>
      <c r="C110" s="3">
        <f t="shared" si="29"/>
        <v>1.2</v>
      </c>
      <c r="N110" s="5">
        <v>26.17</v>
      </c>
      <c r="O110" s="1">
        <v>24.0</v>
      </c>
      <c r="P110" s="10">
        <f t="shared" si="30"/>
        <v>4.898979486</v>
      </c>
      <c r="Q110" s="11">
        <f t="shared" si="31"/>
        <v>1.2</v>
      </c>
      <c r="R110" s="11">
        <f t="shared" si="32"/>
        <v>0.2041241514</v>
      </c>
      <c r="T110" s="3" t="str">
        <f t="shared" si="33"/>
        <v>26,2 &amp; 24 &amp; 1,2 \pm 0,2 \\</v>
      </c>
    </row>
    <row r="111">
      <c r="A111" s="5">
        <v>26.33</v>
      </c>
      <c r="B111" s="1">
        <v>35.0</v>
      </c>
      <c r="C111" s="3">
        <f t="shared" si="29"/>
        <v>1.75</v>
      </c>
      <c r="N111" s="5">
        <v>26.33</v>
      </c>
      <c r="O111" s="1">
        <v>35.0</v>
      </c>
      <c r="P111" s="10">
        <f t="shared" si="30"/>
        <v>5.916079783</v>
      </c>
      <c r="Q111" s="11">
        <f t="shared" si="31"/>
        <v>1.75</v>
      </c>
      <c r="R111" s="11">
        <f t="shared" si="32"/>
        <v>0.1690308583</v>
      </c>
      <c r="T111" s="3" t="str">
        <f t="shared" si="33"/>
        <v>26,3 &amp; 35 &amp; 1,8 \pm 0,2 \\</v>
      </c>
    </row>
    <row r="112">
      <c r="A112" s="5">
        <v>26.5</v>
      </c>
      <c r="B112" s="1">
        <v>53.0</v>
      </c>
      <c r="C112" s="3">
        <f t="shared" si="29"/>
        <v>2.65</v>
      </c>
      <c r="N112" s="5">
        <v>26.5</v>
      </c>
      <c r="O112" s="1">
        <v>53.0</v>
      </c>
      <c r="P112" s="10">
        <f t="shared" si="30"/>
        <v>7.280109889</v>
      </c>
      <c r="Q112" s="11">
        <f t="shared" si="31"/>
        <v>2.65</v>
      </c>
      <c r="R112" s="11">
        <f t="shared" si="32"/>
        <v>0.137360573</v>
      </c>
      <c r="T112" s="3" t="str">
        <f t="shared" si="33"/>
        <v>26,5 &amp; 53 &amp; 2,7 \pm 0,1 \\</v>
      </c>
    </row>
    <row r="113">
      <c r="A113" s="4">
        <f t="shared" ref="A113:A125" si="34">A112+(1/6)</f>
        <v>26.66666667</v>
      </c>
      <c r="B113" s="1">
        <v>115.0</v>
      </c>
      <c r="C113" s="3">
        <f t="shared" si="29"/>
        <v>5.75</v>
      </c>
      <c r="N113" s="4">
        <f t="shared" ref="N113:N125" si="35">N112+(1/6)</f>
        <v>26.66666667</v>
      </c>
      <c r="O113" s="1">
        <v>115.0</v>
      </c>
      <c r="P113" s="10">
        <f t="shared" si="30"/>
        <v>10.72380529</v>
      </c>
      <c r="Q113" s="4">
        <f t="shared" si="31"/>
        <v>5.75</v>
      </c>
      <c r="R113" s="4">
        <f t="shared" si="32"/>
        <v>0.09325049423</v>
      </c>
      <c r="T113" s="3" t="str">
        <f t="shared" ref="T113:T121" si="36">CONCATENATE(TEXT(N113, "00.0"), " &amp; ", TEXT(O113, "#"), " &amp; ", TEXT(Q113,"0.00"), " \pm ", TEXT(R113, "0.00"), " \\")</f>
        <v>26,7 &amp; 115 &amp; 5,75 \pm 0,09 \\</v>
      </c>
    </row>
    <row r="114">
      <c r="A114" s="4">
        <f t="shared" si="34"/>
        <v>26.83333333</v>
      </c>
      <c r="B114" s="1">
        <v>189.0</v>
      </c>
      <c r="C114" s="3">
        <f t="shared" si="29"/>
        <v>9.45</v>
      </c>
      <c r="N114" s="4">
        <f t="shared" si="35"/>
        <v>26.83333333</v>
      </c>
      <c r="O114" s="1">
        <v>189.0</v>
      </c>
      <c r="P114" s="10">
        <f t="shared" si="30"/>
        <v>13.74772708</v>
      </c>
      <c r="Q114" s="4">
        <f t="shared" si="31"/>
        <v>9.45</v>
      </c>
      <c r="R114" s="4">
        <f t="shared" si="32"/>
        <v>0.07273931393</v>
      </c>
      <c r="T114" s="3" t="str">
        <f t="shared" si="36"/>
        <v>26,8 &amp; 189 &amp; 9,45 \pm 0,07 \\</v>
      </c>
    </row>
    <row r="115">
      <c r="A115" s="4">
        <f t="shared" si="34"/>
        <v>27</v>
      </c>
      <c r="B115" s="1">
        <v>320.0</v>
      </c>
      <c r="C115" s="3">
        <f t="shared" si="29"/>
        <v>16</v>
      </c>
      <c r="N115" s="4">
        <f t="shared" si="35"/>
        <v>27</v>
      </c>
      <c r="O115" s="1">
        <v>320.0</v>
      </c>
      <c r="P115" s="10">
        <f t="shared" si="30"/>
        <v>17.88854382</v>
      </c>
      <c r="Q115" s="4">
        <f t="shared" si="31"/>
        <v>16</v>
      </c>
      <c r="R115" s="4">
        <f t="shared" si="32"/>
        <v>0.0559017218</v>
      </c>
      <c r="T115" s="3" t="str">
        <f t="shared" si="36"/>
        <v>27,0 &amp; 320 &amp; 16,00 \pm 0,06 \\</v>
      </c>
    </row>
    <row r="116">
      <c r="A116" s="4">
        <f t="shared" si="34"/>
        <v>27.16666667</v>
      </c>
      <c r="B116" s="1">
        <v>432.0</v>
      </c>
      <c r="C116" s="3">
        <f t="shared" si="29"/>
        <v>21.6</v>
      </c>
      <c r="N116" s="4">
        <f t="shared" si="35"/>
        <v>27.16666667</v>
      </c>
      <c r="O116" s="1">
        <v>432.0</v>
      </c>
      <c r="P116" s="10">
        <f t="shared" si="30"/>
        <v>20.78460969</v>
      </c>
      <c r="Q116" s="4">
        <f t="shared" si="31"/>
        <v>21.6</v>
      </c>
      <c r="R116" s="4">
        <f t="shared" si="32"/>
        <v>0.04811254841</v>
      </c>
      <c r="T116" s="3" t="str">
        <f t="shared" si="36"/>
        <v>27,2 &amp; 432 &amp; 21,60 \pm 0,05 \\</v>
      </c>
    </row>
    <row r="117">
      <c r="A117" s="4">
        <f t="shared" si="34"/>
        <v>27.33333333</v>
      </c>
      <c r="B117" s="1">
        <v>520.0</v>
      </c>
      <c r="C117" s="3">
        <f t="shared" si="29"/>
        <v>26</v>
      </c>
      <c r="N117" s="4">
        <f t="shared" si="35"/>
        <v>27.33333333</v>
      </c>
      <c r="O117" s="1">
        <v>520.0</v>
      </c>
      <c r="P117" s="10">
        <f t="shared" si="30"/>
        <v>22.8035085</v>
      </c>
      <c r="Q117" s="4">
        <f t="shared" si="31"/>
        <v>26</v>
      </c>
      <c r="R117" s="4">
        <f t="shared" si="32"/>
        <v>0.04385292947</v>
      </c>
      <c r="T117" s="3" t="str">
        <f t="shared" si="36"/>
        <v>27,3 &amp; 520 &amp; 26,00 \pm 0,04 \\</v>
      </c>
    </row>
    <row r="118">
      <c r="A118" s="4">
        <f t="shared" si="34"/>
        <v>27.5</v>
      </c>
      <c r="B118" s="1">
        <v>497.0</v>
      </c>
      <c r="C118" s="3">
        <f t="shared" si="29"/>
        <v>24.85</v>
      </c>
      <c r="N118" s="4">
        <f t="shared" si="35"/>
        <v>27.5</v>
      </c>
      <c r="O118" s="1">
        <v>497.0</v>
      </c>
      <c r="P118" s="10">
        <f t="shared" si="30"/>
        <v>22.29349681</v>
      </c>
      <c r="Q118" s="4">
        <f t="shared" si="31"/>
        <v>24.85</v>
      </c>
      <c r="R118" s="4">
        <f t="shared" si="32"/>
        <v>0.04485615827</v>
      </c>
      <c r="T118" s="3" t="str">
        <f t="shared" si="36"/>
        <v>27,5 &amp; 497 &amp; 24,85 \pm 0,04 \\</v>
      </c>
    </row>
    <row r="119">
      <c r="A119" s="4">
        <f t="shared" si="34"/>
        <v>27.66666667</v>
      </c>
      <c r="B119" s="1">
        <v>397.0</v>
      </c>
      <c r="C119" s="3">
        <f t="shared" si="29"/>
        <v>19.85</v>
      </c>
      <c r="N119" s="4">
        <f t="shared" si="35"/>
        <v>27.66666667</v>
      </c>
      <c r="O119" s="1">
        <v>397.0</v>
      </c>
      <c r="P119" s="10">
        <f t="shared" si="30"/>
        <v>19.92485885</v>
      </c>
      <c r="Q119" s="4">
        <f t="shared" si="31"/>
        <v>19.85</v>
      </c>
      <c r="R119" s="4">
        <f t="shared" si="32"/>
        <v>0.05018858623</v>
      </c>
      <c r="T119" s="3" t="str">
        <f t="shared" si="36"/>
        <v>27,7 &amp; 397 &amp; 19,85 \pm 0,05 \\</v>
      </c>
    </row>
    <row r="120">
      <c r="A120" s="4">
        <f t="shared" si="34"/>
        <v>27.83333333</v>
      </c>
      <c r="B120" s="1">
        <v>313.0</v>
      </c>
      <c r="C120" s="3">
        <f t="shared" si="29"/>
        <v>15.65</v>
      </c>
      <c r="N120" s="4">
        <f t="shared" si="35"/>
        <v>27.83333333</v>
      </c>
      <c r="O120" s="1">
        <v>313.0</v>
      </c>
      <c r="P120" s="10">
        <f t="shared" si="30"/>
        <v>17.69180601</v>
      </c>
      <c r="Q120" s="4">
        <f t="shared" si="31"/>
        <v>15.65</v>
      </c>
      <c r="R120" s="4">
        <f t="shared" si="32"/>
        <v>0.05652336401</v>
      </c>
      <c r="T120" s="3" t="str">
        <f t="shared" si="36"/>
        <v>27,8 &amp; 313 &amp; 15,65 \pm 0,06 \\</v>
      </c>
    </row>
    <row r="121">
      <c r="A121" s="4">
        <f t="shared" si="34"/>
        <v>28</v>
      </c>
      <c r="B121" s="1">
        <v>151.0</v>
      </c>
      <c r="C121" s="3">
        <f t="shared" si="29"/>
        <v>7.55</v>
      </c>
      <c r="N121" s="4">
        <f t="shared" si="35"/>
        <v>28</v>
      </c>
      <c r="O121" s="1">
        <v>151.0</v>
      </c>
      <c r="P121" s="10">
        <f t="shared" si="30"/>
        <v>12.28820573</v>
      </c>
      <c r="Q121" s="4">
        <f t="shared" si="31"/>
        <v>7.55</v>
      </c>
      <c r="R121" s="4">
        <f t="shared" si="32"/>
        <v>0.08137886124</v>
      </c>
      <c r="T121" s="3" t="str">
        <f t="shared" si="36"/>
        <v>28,0 &amp; 151 &amp; 7,55 \pm 0,08 \\</v>
      </c>
    </row>
    <row r="122">
      <c r="A122" s="4">
        <f t="shared" si="34"/>
        <v>28.16666667</v>
      </c>
      <c r="B122" s="1">
        <v>89.0</v>
      </c>
      <c r="C122" s="3">
        <f t="shared" si="29"/>
        <v>4.45</v>
      </c>
      <c r="N122" s="4">
        <f t="shared" si="35"/>
        <v>28.16666667</v>
      </c>
      <c r="O122" s="1">
        <v>89.0</v>
      </c>
      <c r="P122" s="10">
        <f t="shared" si="30"/>
        <v>9.433981132</v>
      </c>
      <c r="Q122" s="11">
        <f t="shared" si="31"/>
        <v>4.45</v>
      </c>
      <c r="R122" s="11">
        <f t="shared" si="32"/>
        <v>0.1059997998</v>
      </c>
      <c r="T122" s="3" t="str">
        <f t="shared" ref="T122:T125" si="37">CONCATENATE(TEXT(N122, "00.0"), " &amp; ", TEXT(O122, "#"), " &amp; ", TEXT(Q122,"0.0"), " \pm ", TEXT(R122, "0.0"), " \\")</f>
        <v>28,2 &amp; 89 &amp; 4,5 \pm 0,1 \\</v>
      </c>
    </row>
    <row r="123">
      <c r="A123" s="4">
        <f t="shared" si="34"/>
        <v>28.33333333</v>
      </c>
      <c r="B123" s="1">
        <v>47.0</v>
      </c>
      <c r="C123" s="3">
        <f t="shared" si="29"/>
        <v>2.35</v>
      </c>
      <c r="N123" s="4">
        <f t="shared" si="35"/>
        <v>28.33333333</v>
      </c>
      <c r="O123" s="1">
        <v>47.0</v>
      </c>
      <c r="P123" s="10">
        <f t="shared" si="30"/>
        <v>6.8556546</v>
      </c>
      <c r="Q123" s="11">
        <f t="shared" si="31"/>
        <v>2.35</v>
      </c>
      <c r="R123" s="11">
        <f t="shared" si="32"/>
        <v>0.1458650001</v>
      </c>
      <c r="T123" s="3" t="str">
        <f t="shared" si="37"/>
        <v>28,3 &amp; 47 &amp; 2,4 \pm 0,1 \\</v>
      </c>
    </row>
    <row r="124">
      <c r="A124" s="4">
        <f t="shared" si="34"/>
        <v>28.5</v>
      </c>
      <c r="B124" s="1">
        <v>45.0</v>
      </c>
      <c r="C124" s="3">
        <f t="shared" si="29"/>
        <v>2.25</v>
      </c>
      <c r="N124" s="4">
        <f t="shared" si="35"/>
        <v>28.5</v>
      </c>
      <c r="O124" s="1">
        <v>45.0</v>
      </c>
      <c r="P124" s="10">
        <f t="shared" si="30"/>
        <v>6.708203932</v>
      </c>
      <c r="Q124" s="11">
        <f t="shared" si="31"/>
        <v>2.25</v>
      </c>
      <c r="R124" s="11">
        <f t="shared" si="32"/>
        <v>0.1490712069</v>
      </c>
      <c r="T124" s="3" t="str">
        <f t="shared" si="37"/>
        <v>28,5 &amp; 45 &amp; 2,3 \pm 0,1 \\</v>
      </c>
    </row>
    <row r="125">
      <c r="A125" s="4">
        <f t="shared" si="34"/>
        <v>28.66666667</v>
      </c>
      <c r="B125" s="1">
        <v>26.0</v>
      </c>
      <c r="C125" s="3">
        <f t="shared" si="29"/>
        <v>1.3</v>
      </c>
      <c r="N125" s="4">
        <f t="shared" si="35"/>
        <v>28.66666667</v>
      </c>
      <c r="O125" s="1">
        <v>26.0</v>
      </c>
      <c r="P125" s="10">
        <f t="shared" si="30"/>
        <v>5.099019514</v>
      </c>
      <c r="Q125" s="11">
        <f t="shared" si="31"/>
        <v>1.3</v>
      </c>
      <c r="R125" s="11">
        <f t="shared" si="32"/>
        <v>0.1961161415</v>
      </c>
      <c r="T125" s="3" t="str">
        <f t="shared" si="37"/>
        <v>28,7 &amp; 26 &amp; 1,3 \pm 0,2 \\</v>
      </c>
    </row>
    <row r="126">
      <c r="P126" s="10"/>
      <c r="R126" s="4"/>
    </row>
    <row r="127">
      <c r="P127" s="10"/>
      <c r="R127" s="4"/>
    </row>
    <row r="128">
      <c r="P128" s="10"/>
      <c r="R128" s="4"/>
    </row>
    <row r="129">
      <c r="A129" s="1" t="s">
        <v>41</v>
      </c>
      <c r="N129" s="1" t="s">
        <v>41</v>
      </c>
      <c r="P129" s="10"/>
      <c r="R129" s="4"/>
    </row>
    <row r="130">
      <c r="A130" s="1" t="s">
        <v>27</v>
      </c>
      <c r="B130" s="1" t="s">
        <v>6</v>
      </c>
      <c r="C130" s="1" t="s">
        <v>7</v>
      </c>
      <c r="N130" s="1" t="s">
        <v>27</v>
      </c>
      <c r="O130" s="1" t="s">
        <v>6</v>
      </c>
      <c r="P130" s="10"/>
      <c r="Q130" s="1" t="s">
        <v>7</v>
      </c>
      <c r="R130" s="4"/>
    </row>
    <row r="131">
      <c r="A131" s="5">
        <v>24.0</v>
      </c>
      <c r="B131" s="1">
        <v>58.0</v>
      </c>
      <c r="C131" s="3">
        <f t="shared" ref="C131:C149" si="38">B131/C$2</f>
        <v>2.9</v>
      </c>
      <c r="N131" s="5">
        <v>24.0</v>
      </c>
      <c r="O131" s="1">
        <v>58.0</v>
      </c>
      <c r="P131" s="10">
        <f t="shared" ref="P131:P149" si="39">SQRT(O131)</f>
        <v>7.615773106</v>
      </c>
      <c r="Q131" s="11">
        <f t="shared" ref="Q131:Q149" si="40">O131/C$2</f>
        <v>2.9</v>
      </c>
      <c r="R131" s="11">
        <f t="shared" ref="R131:R149" si="41">SQRT( (P131/O131)^2 + (0.001/20)^2)</f>
        <v>0.1313064424</v>
      </c>
      <c r="T131" s="3" t="str">
        <f t="shared" ref="T131:T132" si="42">CONCATENATE(TEXT(N131, "00.0"), " &amp; ", TEXT(O131, "#"), " &amp; ", TEXT(Q131,"0.0"), " \pm ", TEXT(R131, "0.0"), " \\")</f>
        <v>24,0 &amp; 58 &amp; 2,9 \pm 0,1 \\</v>
      </c>
    </row>
    <row r="132">
      <c r="A132" s="5">
        <f t="shared" ref="A132:A149" si="43">A131+(1/6)</f>
        <v>24.16666667</v>
      </c>
      <c r="B132" s="1">
        <v>82.0</v>
      </c>
      <c r="C132" s="3">
        <f t="shared" si="38"/>
        <v>4.1</v>
      </c>
      <c r="N132" s="5">
        <f t="shared" ref="N132:N149" si="44">N131+(1/6)</f>
        <v>24.16666667</v>
      </c>
      <c r="O132" s="1">
        <v>82.0</v>
      </c>
      <c r="P132" s="10">
        <f t="shared" si="39"/>
        <v>9.055385138</v>
      </c>
      <c r="Q132" s="11">
        <f t="shared" si="40"/>
        <v>4.1</v>
      </c>
      <c r="R132" s="11">
        <f t="shared" si="41"/>
        <v>0.1104315374</v>
      </c>
      <c r="T132" s="3" t="str">
        <f t="shared" si="42"/>
        <v>24,2 &amp; 82 &amp; 4,1 \pm 0,1 \\</v>
      </c>
    </row>
    <row r="133">
      <c r="A133" s="5">
        <f t="shared" si="43"/>
        <v>24.33333333</v>
      </c>
      <c r="B133" s="1">
        <v>131.0</v>
      </c>
      <c r="C133" s="3">
        <f t="shared" si="38"/>
        <v>6.55</v>
      </c>
      <c r="N133" s="5">
        <f t="shared" si="44"/>
        <v>24.33333333</v>
      </c>
      <c r="O133" s="1">
        <v>131.0</v>
      </c>
      <c r="P133" s="10">
        <f t="shared" si="39"/>
        <v>11.44552314</v>
      </c>
      <c r="Q133" s="4">
        <f t="shared" si="40"/>
        <v>6.55</v>
      </c>
      <c r="R133" s="4">
        <f t="shared" si="41"/>
        <v>0.08737041997</v>
      </c>
      <c r="T133" s="3" t="str">
        <f t="shared" ref="T133:T145" si="45">CONCATENATE(TEXT(N133, "00.0"), " &amp; ", TEXT(O133, "#"), " &amp; ", TEXT(Q133,"0.00"), " \pm ", TEXT(R133, "0.00"), " \\")</f>
        <v>24,3 &amp; 131 &amp; 6,55 \pm 0,09 \\</v>
      </c>
    </row>
    <row r="134">
      <c r="A134" s="5">
        <f t="shared" si="43"/>
        <v>24.5</v>
      </c>
      <c r="B134" s="1">
        <v>181.0</v>
      </c>
      <c r="C134" s="3">
        <f t="shared" si="38"/>
        <v>9.05</v>
      </c>
      <c r="N134" s="5">
        <f t="shared" si="44"/>
        <v>24.5</v>
      </c>
      <c r="O134" s="1">
        <v>181.0</v>
      </c>
      <c r="P134" s="10">
        <f t="shared" si="39"/>
        <v>13.45362405</v>
      </c>
      <c r="Q134" s="4">
        <f t="shared" si="40"/>
        <v>9.05</v>
      </c>
      <c r="R134" s="4">
        <f t="shared" si="41"/>
        <v>0.07432943144</v>
      </c>
      <c r="T134" s="3" t="str">
        <f t="shared" si="45"/>
        <v>24,5 &amp; 181 &amp; 9,05 \pm 0,07 \\</v>
      </c>
    </row>
    <row r="135">
      <c r="A135" s="5">
        <f t="shared" si="43"/>
        <v>24.66666667</v>
      </c>
      <c r="B135" s="1">
        <v>403.0</v>
      </c>
      <c r="C135" s="3">
        <f t="shared" si="38"/>
        <v>20.15</v>
      </c>
      <c r="N135" s="5">
        <f t="shared" si="44"/>
        <v>24.66666667</v>
      </c>
      <c r="O135" s="1">
        <v>403.0</v>
      </c>
      <c r="P135" s="10">
        <f t="shared" si="39"/>
        <v>20.0748599</v>
      </c>
      <c r="Q135" s="4">
        <f t="shared" si="40"/>
        <v>20.15</v>
      </c>
      <c r="R135" s="4">
        <f t="shared" si="41"/>
        <v>0.04981357323</v>
      </c>
      <c r="T135" s="3" t="str">
        <f t="shared" si="45"/>
        <v>24,7 &amp; 403 &amp; 20,15 \pm 0,05 \\</v>
      </c>
    </row>
    <row r="136">
      <c r="A136" s="5">
        <f t="shared" si="43"/>
        <v>24.83333333</v>
      </c>
      <c r="B136" s="1">
        <v>702.0</v>
      </c>
      <c r="C136" s="3">
        <f t="shared" si="38"/>
        <v>35.1</v>
      </c>
      <c r="N136" s="5">
        <f t="shared" si="44"/>
        <v>24.83333333</v>
      </c>
      <c r="O136" s="1">
        <v>702.0</v>
      </c>
      <c r="P136" s="10">
        <f t="shared" si="39"/>
        <v>26.4952826</v>
      </c>
      <c r="Q136" s="4">
        <f t="shared" si="40"/>
        <v>35.1</v>
      </c>
      <c r="R136" s="4">
        <f t="shared" si="41"/>
        <v>0.03774260092</v>
      </c>
      <c r="T136" s="3" t="str">
        <f t="shared" si="45"/>
        <v>24,8 &amp; 702 &amp; 35,10 \pm 0,04 \\</v>
      </c>
    </row>
    <row r="137">
      <c r="A137" s="5">
        <f t="shared" si="43"/>
        <v>25</v>
      </c>
      <c r="B137" s="1">
        <v>975.0</v>
      </c>
      <c r="C137" s="3">
        <f t="shared" si="38"/>
        <v>48.75</v>
      </c>
      <c r="N137" s="5">
        <f t="shared" si="44"/>
        <v>25</v>
      </c>
      <c r="O137" s="1">
        <v>975.0</v>
      </c>
      <c r="P137" s="10">
        <f t="shared" si="39"/>
        <v>31.22498999</v>
      </c>
      <c r="Q137" s="4">
        <f t="shared" si="40"/>
        <v>48.75</v>
      </c>
      <c r="R137" s="4">
        <f t="shared" si="41"/>
        <v>0.03202566979</v>
      </c>
      <c r="T137" s="3" t="str">
        <f t="shared" si="45"/>
        <v>25,0 &amp; 975 &amp; 48,75 \pm 0,03 \\</v>
      </c>
    </row>
    <row r="138">
      <c r="A138" s="5">
        <f t="shared" si="43"/>
        <v>25.16666667</v>
      </c>
      <c r="B138" s="1">
        <v>1196.0</v>
      </c>
      <c r="C138" s="3">
        <f t="shared" si="38"/>
        <v>59.8</v>
      </c>
      <c r="N138" s="5">
        <f t="shared" si="44"/>
        <v>25.16666667</v>
      </c>
      <c r="O138" s="1">
        <v>1196.0</v>
      </c>
      <c r="P138" s="10">
        <f t="shared" si="39"/>
        <v>34.58323293</v>
      </c>
      <c r="Q138" s="4">
        <f t="shared" si="40"/>
        <v>59.8</v>
      </c>
      <c r="R138" s="4">
        <f t="shared" si="41"/>
        <v>0.02891578983</v>
      </c>
      <c r="T138" s="3" t="str">
        <f t="shared" si="45"/>
        <v>25,2 &amp; 1196 &amp; 59,80 \pm 0,03 \\</v>
      </c>
    </row>
    <row r="139">
      <c r="A139" s="5">
        <f t="shared" si="43"/>
        <v>25.33333333</v>
      </c>
      <c r="B139" s="1">
        <v>1339.0</v>
      </c>
      <c r="C139" s="3">
        <f t="shared" si="38"/>
        <v>66.95</v>
      </c>
      <c r="N139" s="5">
        <f t="shared" si="44"/>
        <v>25.33333333</v>
      </c>
      <c r="O139" s="1">
        <v>1339.0</v>
      </c>
      <c r="P139" s="10">
        <f t="shared" si="39"/>
        <v>36.59234893</v>
      </c>
      <c r="Q139" s="4">
        <f t="shared" si="40"/>
        <v>66.95</v>
      </c>
      <c r="R139" s="4">
        <f t="shared" si="41"/>
        <v>0.02732816294</v>
      </c>
      <c r="T139" s="3" t="str">
        <f t="shared" si="45"/>
        <v>25,3 &amp; 1339 &amp; 66,95 \pm 0,03 \\</v>
      </c>
    </row>
    <row r="140">
      <c r="A140" s="5">
        <f t="shared" si="43"/>
        <v>25.5</v>
      </c>
      <c r="B140" s="1">
        <v>1541.0</v>
      </c>
      <c r="C140" s="3">
        <f t="shared" si="38"/>
        <v>77.05</v>
      </c>
      <c r="N140" s="5">
        <f t="shared" si="44"/>
        <v>25.5</v>
      </c>
      <c r="O140" s="1">
        <v>1541.0</v>
      </c>
      <c r="P140" s="10">
        <f t="shared" si="39"/>
        <v>39.25557285</v>
      </c>
      <c r="Q140" s="4">
        <f t="shared" si="40"/>
        <v>77.05</v>
      </c>
      <c r="R140" s="4">
        <f t="shared" si="41"/>
        <v>0.02547413918</v>
      </c>
      <c r="T140" s="3" t="str">
        <f t="shared" si="45"/>
        <v>25,5 &amp; 1541 &amp; 77,05 \pm 0,03 \\</v>
      </c>
    </row>
    <row r="141">
      <c r="A141" s="5">
        <f t="shared" si="43"/>
        <v>25.66666667</v>
      </c>
      <c r="B141" s="1">
        <v>1551.0</v>
      </c>
      <c r="C141" s="3">
        <f t="shared" si="38"/>
        <v>77.55</v>
      </c>
      <c r="N141" s="5">
        <f t="shared" si="44"/>
        <v>25.66666667</v>
      </c>
      <c r="O141" s="1">
        <v>1551.0</v>
      </c>
      <c r="P141" s="10">
        <f t="shared" si="39"/>
        <v>39.38273734</v>
      </c>
      <c r="Q141" s="4">
        <f t="shared" si="40"/>
        <v>77.55</v>
      </c>
      <c r="R141" s="4">
        <f t="shared" si="41"/>
        <v>0.02539188503</v>
      </c>
      <c r="T141" s="3" t="str">
        <f t="shared" si="45"/>
        <v>25,7 &amp; 1551 &amp; 77,55 \pm 0,03 \\</v>
      </c>
    </row>
    <row r="142">
      <c r="A142" s="5">
        <f t="shared" si="43"/>
        <v>25.83333333</v>
      </c>
      <c r="B142" s="1">
        <v>1531.0</v>
      </c>
      <c r="C142" s="3">
        <f t="shared" si="38"/>
        <v>76.55</v>
      </c>
      <c r="N142" s="5">
        <f t="shared" si="44"/>
        <v>25.83333333</v>
      </c>
      <c r="O142" s="1">
        <v>1531.0</v>
      </c>
      <c r="P142" s="10">
        <f t="shared" si="39"/>
        <v>39.12799509</v>
      </c>
      <c r="Q142" s="4">
        <f t="shared" si="40"/>
        <v>76.55</v>
      </c>
      <c r="R142" s="4">
        <f t="shared" si="41"/>
        <v>0.02555719789</v>
      </c>
      <c r="T142" s="3" t="str">
        <f t="shared" si="45"/>
        <v>25,8 &amp; 1531 &amp; 76,55 \pm 0,03 \\</v>
      </c>
    </row>
    <row r="143">
      <c r="A143" s="5">
        <f t="shared" si="43"/>
        <v>26</v>
      </c>
      <c r="B143" s="1">
        <v>1170.0</v>
      </c>
      <c r="C143" s="3">
        <f t="shared" si="38"/>
        <v>58.5</v>
      </c>
      <c r="N143" s="5">
        <f t="shared" si="44"/>
        <v>26</v>
      </c>
      <c r="O143" s="1">
        <v>1170.0</v>
      </c>
      <c r="P143" s="10">
        <f t="shared" si="39"/>
        <v>34.20526275</v>
      </c>
      <c r="Q143" s="4">
        <f t="shared" si="40"/>
        <v>58.5</v>
      </c>
      <c r="R143" s="4">
        <f t="shared" si="41"/>
        <v>0.02923531007</v>
      </c>
      <c r="T143" s="3" t="str">
        <f t="shared" si="45"/>
        <v>26,0 &amp; 1170 &amp; 58,50 \pm 0,03 \\</v>
      </c>
    </row>
    <row r="144">
      <c r="A144" s="5">
        <f t="shared" si="43"/>
        <v>26.16666667</v>
      </c>
      <c r="B144" s="1">
        <v>717.0</v>
      </c>
      <c r="C144" s="3">
        <f t="shared" si="38"/>
        <v>35.85</v>
      </c>
      <c r="N144" s="5">
        <f t="shared" si="44"/>
        <v>26.16666667</v>
      </c>
      <c r="O144" s="1">
        <v>717.0</v>
      </c>
      <c r="P144" s="10">
        <f t="shared" si="39"/>
        <v>26.77685568</v>
      </c>
      <c r="Q144" s="4">
        <f t="shared" si="40"/>
        <v>35.85</v>
      </c>
      <c r="R144" s="4">
        <f t="shared" si="41"/>
        <v>0.03734571782</v>
      </c>
      <c r="T144" s="3" t="str">
        <f t="shared" si="45"/>
        <v>26,2 &amp; 717 &amp; 35,85 \pm 0,04 \\</v>
      </c>
    </row>
    <row r="145">
      <c r="A145" s="5">
        <f t="shared" si="43"/>
        <v>26.33333333</v>
      </c>
      <c r="B145" s="1">
        <v>274.0</v>
      </c>
      <c r="C145" s="3">
        <f t="shared" si="38"/>
        <v>13.7</v>
      </c>
      <c r="N145" s="5">
        <f t="shared" si="44"/>
        <v>26.33333333</v>
      </c>
      <c r="O145" s="1">
        <v>274.0</v>
      </c>
      <c r="P145" s="10">
        <f t="shared" si="39"/>
        <v>16.55294536</v>
      </c>
      <c r="Q145" s="4">
        <f t="shared" si="40"/>
        <v>13.7</v>
      </c>
      <c r="R145" s="4">
        <f t="shared" si="41"/>
        <v>0.06041223002</v>
      </c>
      <c r="T145" s="3" t="str">
        <f t="shared" si="45"/>
        <v>26,3 &amp; 274 &amp; 13,70 \pm 0,06 \\</v>
      </c>
    </row>
    <row r="146">
      <c r="A146" s="5">
        <f t="shared" si="43"/>
        <v>26.5</v>
      </c>
      <c r="B146" s="1">
        <v>104.0</v>
      </c>
      <c r="C146" s="3">
        <f t="shared" si="38"/>
        <v>5.2</v>
      </c>
      <c r="N146" s="5">
        <f t="shared" si="44"/>
        <v>26.5</v>
      </c>
      <c r="O146" s="1">
        <v>104.0</v>
      </c>
      <c r="P146" s="10">
        <f t="shared" si="39"/>
        <v>10.19803903</v>
      </c>
      <c r="Q146" s="11">
        <f t="shared" si="40"/>
        <v>5.2</v>
      </c>
      <c r="R146" s="11">
        <f t="shared" si="41"/>
        <v>0.09805808032</v>
      </c>
      <c r="T146" s="3" t="str">
        <f t="shared" ref="T146:T149" si="46">CONCATENATE(TEXT(N146, "00.0"), " &amp; ", TEXT(O146, "#"), " &amp; ", TEXT(Q146,"0.0"), " \pm ", TEXT(R146, "0.0"), " \\")</f>
        <v>26,5 &amp; 104 &amp; 5,2 \pm 0,1 \\</v>
      </c>
    </row>
    <row r="147">
      <c r="A147" s="5">
        <f t="shared" si="43"/>
        <v>26.66666667</v>
      </c>
      <c r="B147" s="1">
        <v>70.0</v>
      </c>
      <c r="C147" s="3">
        <f t="shared" si="38"/>
        <v>3.5</v>
      </c>
      <c r="N147" s="5">
        <f t="shared" si="44"/>
        <v>26.66666667</v>
      </c>
      <c r="O147" s="1">
        <v>70.0</v>
      </c>
      <c r="P147" s="10">
        <f t="shared" si="39"/>
        <v>8.366600265</v>
      </c>
      <c r="Q147" s="11">
        <f t="shared" si="40"/>
        <v>3.5</v>
      </c>
      <c r="R147" s="11">
        <f t="shared" si="41"/>
        <v>0.1195228714</v>
      </c>
      <c r="T147" s="3" t="str">
        <f t="shared" si="46"/>
        <v>26,7 &amp; 70 &amp; 3,5 \pm 0,1 \\</v>
      </c>
    </row>
    <row r="148">
      <c r="A148" s="5">
        <f t="shared" si="43"/>
        <v>26.83333333</v>
      </c>
      <c r="B148" s="1">
        <v>65.0</v>
      </c>
      <c r="C148" s="3">
        <f t="shared" si="38"/>
        <v>3.25</v>
      </c>
      <c r="N148" s="5">
        <f t="shared" si="44"/>
        <v>26.83333333</v>
      </c>
      <c r="O148" s="1">
        <v>65.0</v>
      </c>
      <c r="P148" s="10">
        <f t="shared" si="39"/>
        <v>8.062257748</v>
      </c>
      <c r="Q148" s="11">
        <f t="shared" si="40"/>
        <v>3.25</v>
      </c>
      <c r="R148" s="11">
        <f t="shared" si="41"/>
        <v>0.1240347447</v>
      </c>
      <c r="T148" s="3" t="str">
        <f t="shared" si="46"/>
        <v>26,8 &amp; 65 &amp; 3,3 \pm 0,1 \\</v>
      </c>
    </row>
    <row r="149">
      <c r="A149" s="5">
        <f t="shared" si="43"/>
        <v>27</v>
      </c>
      <c r="B149" s="1">
        <v>68.0</v>
      </c>
      <c r="C149" s="3">
        <f t="shared" si="38"/>
        <v>3.4</v>
      </c>
      <c r="N149" s="5">
        <f t="shared" si="44"/>
        <v>27</v>
      </c>
      <c r="O149" s="1">
        <v>68.0</v>
      </c>
      <c r="P149" s="10">
        <f t="shared" si="39"/>
        <v>8.246211251</v>
      </c>
      <c r="Q149" s="11">
        <f t="shared" si="40"/>
        <v>3.4</v>
      </c>
      <c r="R149" s="11">
        <f t="shared" si="41"/>
        <v>0.1212678228</v>
      </c>
      <c r="T149" s="3" t="str">
        <f t="shared" si="46"/>
        <v>27,0 &amp; 68 &amp; 3,4 \pm 0,1 \\</v>
      </c>
    </row>
    <row r="150">
      <c r="P150" s="10"/>
      <c r="R150" s="4"/>
    </row>
    <row r="151">
      <c r="P151" s="10"/>
      <c r="R151" s="4"/>
    </row>
    <row r="152">
      <c r="P152" s="10"/>
      <c r="R152" s="4"/>
    </row>
    <row r="153">
      <c r="A153" s="1" t="s">
        <v>42</v>
      </c>
      <c r="N153" s="1" t="s">
        <v>42</v>
      </c>
      <c r="P153" s="10"/>
      <c r="R153" s="4"/>
    </row>
    <row r="154">
      <c r="A154" s="1" t="s">
        <v>27</v>
      </c>
      <c r="B154" s="1" t="s">
        <v>6</v>
      </c>
      <c r="C154" s="1" t="s">
        <v>7</v>
      </c>
      <c r="N154" s="1" t="s">
        <v>27</v>
      </c>
      <c r="O154" s="1" t="s">
        <v>6</v>
      </c>
      <c r="P154" s="10"/>
      <c r="Q154" s="1" t="s">
        <v>7</v>
      </c>
      <c r="R154" s="4"/>
    </row>
    <row r="155">
      <c r="A155" s="5">
        <v>43.0</v>
      </c>
      <c r="B155" s="1">
        <v>44.0</v>
      </c>
      <c r="C155" s="3">
        <f t="shared" ref="C155:C174" si="47">B155/C$2</f>
        <v>2.2</v>
      </c>
      <c r="N155" s="5">
        <v>43.0</v>
      </c>
      <c r="O155" s="1">
        <v>44.0</v>
      </c>
      <c r="P155" s="10">
        <f t="shared" ref="P155:P174" si="48">SQRT(O155)</f>
        <v>6.633249581</v>
      </c>
      <c r="Q155" s="11">
        <f t="shared" ref="Q155:Q174" si="49">O155/C$2</f>
        <v>2.2</v>
      </c>
      <c r="R155" s="11">
        <f t="shared" ref="R155:R174" si="50">SQRT( (P155/O155)^2 + (0.001/20)^2)</f>
        <v>0.1507556806</v>
      </c>
      <c r="T155" s="3" t="str">
        <f t="shared" ref="T155:T163" si="51">CONCATENATE(TEXT(N155, "00.0"), " &amp; ", TEXT(O155, "#"), " &amp; ", TEXT(Q155,"0.0"), " \pm ", TEXT(R155, "0.0"), " \\")</f>
        <v>43,0 &amp; 44 &amp; 2,2 \pm 0,2 \\</v>
      </c>
    </row>
    <row r="156">
      <c r="A156" s="4">
        <f t="shared" ref="A156:A174" si="52">A155+(1/6)</f>
        <v>43.16666667</v>
      </c>
      <c r="B156" s="1">
        <v>34.0</v>
      </c>
      <c r="C156" s="3">
        <f t="shared" si="47"/>
        <v>1.7</v>
      </c>
      <c r="N156" s="4">
        <f t="shared" ref="N156:N174" si="53">N155+(1/6)</f>
        <v>43.16666667</v>
      </c>
      <c r="O156" s="1">
        <v>34.0</v>
      </c>
      <c r="P156" s="10">
        <f t="shared" si="48"/>
        <v>5.830951895</v>
      </c>
      <c r="Q156" s="11">
        <f t="shared" si="49"/>
        <v>1.7</v>
      </c>
      <c r="R156" s="11">
        <f t="shared" si="50"/>
        <v>0.1714985924</v>
      </c>
      <c r="T156" s="3" t="str">
        <f t="shared" si="51"/>
        <v>43,2 &amp; 34 &amp; 1,7 \pm 0,2 \\</v>
      </c>
    </row>
    <row r="157">
      <c r="A157" s="4">
        <f t="shared" si="52"/>
        <v>43.33333333</v>
      </c>
      <c r="B157" s="1">
        <v>37.0</v>
      </c>
      <c r="C157" s="3">
        <f t="shared" si="47"/>
        <v>1.85</v>
      </c>
      <c r="N157" s="4">
        <f t="shared" si="53"/>
        <v>43.33333333</v>
      </c>
      <c r="O157" s="1">
        <v>37.0</v>
      </c>
      <c r="P157" s="10">
        <f t="shared" si="48"/>
        <v>6.08276253</v>
      </c>
      <c r="Q157" s="11">
        <f t="shared" si="49"/>
        <v>1.85</v>
      </c>
      <c r="R157" s="11">
        <f t="shared" si="50"/>
        <v>0.1643989949</v>
      </c>
      <c r="T157" s="3" t="str">
        <f t="shared" si="51"/>
        <v>43,3 &amp; 37 &amp; 1,9 \pm 0,2 \\</v>
      </c>
    </row>
    <row r="158">
      <c r="A158" s="4">
        <f t="shared" si="52"/>
        <v>43.5</v>
      </c>
      <c r="B158" s="1">
        <v>29.0</v>
      </c>
      <c r="C158" s="3">
        <f t="shared" si="47"/>
        <v>1.45</v>
      </c>
      <c r="N158" s="4">
        <f t="shared" si="53"/>
        <v>43.5</v>
      </c>
      <c r="O158" s="1">
        <v>29.0</v>
      </c>
      <c r="P158" s="10">
        <f t="shared" si="48"/>
        <v>5.385164807</v>
      </c>
      <c r="Q158" s="11">
        <f t="shared" si="49"/>
        <v>1.45</v>
      </c>
      <c r="R158" s="11">
        <f t="shared" si="50"/>
        <v>0.1856953449</v>
      </c>
      <c r="T158" s="3" t="str">
        <f t="shared" si="51"/>
        <v>43,5 &amp; 29 &amp; 1,5 \pm 0,2 \\</v>
      </c>
    </row>
    <row r="159">
      <c r="A159" s="4">
        <f t="shared" si="52"/>
        <v>43.66666667</v>
      </c>
      <c r="B159" s="1">
        <v>50.0</v>
      </c>
      <c r="C159" s="3">
        <f t="shared" si="47"/>
        <v>2.5</v>
      </c>
      <c r="N159" s="4">
        <f t="shared" si="53"/>
        <v>43.66666667</v>
      </c>
      <c r="O159" s="1">
        <v>50.0</v>
      </c>
      <c r="P159" s="10">
        <f t="shared" si="48"/>
        <v>7.071067812</v>
      </c>
      <c r="Q159" s="11">
        <f t="shared" si="49"/>
        <v>2.5</v>
      </c>
      <c r="R159" s="11">
        <f t="shared" si="50"/>
        <v>0.1414213651</v>
      </c>
      <c r="T159" s="3" t="str">
        <f t="shared" si="51"/>
        <v>43,7 &amp; 50 &amp; 2,5 \pm 0,1 \\</v>
      </c>
    </row>
    <row r="160">
      <c r="A160" s="4">
        <f t="shared" si="52"/>
        <v>43.83333333</v>
      </c>
      <c r="B160" s="1">
        <v>56.0</v>
      </c>
      <c r="C160" s="3">
        <f t="shared" si="47"/>
        <v>2.8</v>
      </c>
      <c r="N160" s="4">
        <f t="shared" si="53"/>
        <v>43.83333333</v>
      </c>
      <c r="O160" s="1">
        <v>56.0</v>
      </c>
      <c r="P160" s="10">
        <f t="shared" si="48"/>
        <v>7.483314774</v>
      </c>
      <c r="Q160" s="11">
        <f t="shared" si="49"/>
        <v>2.8</v>
      </c>
      <c r="R160" s="11">
        <f t="shared" si="50"/>
        <v>0.1336306303</v>
      </c>
      <c r="T160" s="3" t="str">
        <f t="shared" si="51"/>
        <v>43,8 &amp; 56 &amp; 2,8 \pm 0,1 \\</v>
      </c>
    </row>
    <row r="161">
      <c r="A161" s="4">
        <f t="shared" si="52"/>
        <v>44</v>
      </c>
      <c r="B161" s="1">
        <v>69.0</v>
      </c>
      <c r="C161" s="3">
        <f t="shared" si="47"/>
        <v>3.45</v>
      </c>
      <c r="N161" s="4">
        <f t="shared" si="53"/>
        <v>44</v>
      </c>
      <c r="O161" s="1">
        <v>69.0</v>
      </c>
      <c r="P161" s="10">
        <f t="shared" si="48"/>
        <v>8.306623863</v>
      </c>
      <c r="Q161" s="11">
        <f t="shared" si="49"/>
        <v>3.45</v>
      </c>
      <c r="R161" s="11">
        <f t="shared" si="50"/>
        <v>0.1203858635</v>
      </c>
      <c r="T161" s="3" t="str">
        <f t="shared" si="51"/>
        <v>44,0 &amp; 69 &amp; 3,5 \pm 0,1 \\</v>
      </c>
    </row>
    <row r="162">
      <c r="A162" s="4">
        <f t="shared" si="52"/>
        <v>44.16666667</v>
      </c>
      <c r="B162" s="1">
        <v>82.0</v>
      </c>
      <c r="C162" s="3">
        <f t="shared" si="47"/>
        <v>4.1</v>
      </c>
      <c r="N162" s="4">
        <f t="shared" si="53"/>
        <v>44.16666667</v>
      </c>
      <c r="O162" s="1">
        <v>82.0</v>
      </c>
      <c r="P162" s="10">
        <f t="shared" si="48"/>
        <v>9.055385138</v>
      </c>
      <c r="Q162" s="11">
        <f t="shared" si="49"/>
        <v>4.1</v>
      </c>
      <c r="R162" s="11">
        <f t="shared" si="50"/>
        <v>0.1104315374</v>
      </c>
      <c r="T162" s="3" t="str">
        <f t="shared" si="51"/>
        <v>44,2 &amp; 82 &amp; 4,1 \pm 0,1 \\</v>
      </c>
    </row>
    <row r="163">
      <c r="A163" s="4">
        <f t="shared" si="52"/>
        <v>44.33333333</v>
      </c>
      <c r="B163" s="1">
        <v>99.0</v>
      </c>
      <c r="C163" s="3">
        <f t="shared" si="47"/>
        <v>4.95</v>
      </c>
      <c r="N163" s="4">
        <f t="shared" si="53"/>
        <v>44.33333333</v>
      </c>
      <c r="O163" s="1">
        <v>99.0</v>
      </c>
      <c r="P163" s="10">
        <f t="shared" si="48"/>
        <v>9.949874371</v>
      </c>
      <c r="Q163" s="11">
        <f t="shared" si="49"/>
        <v>4.95</v>
      </c>
      <c r="R163" s="11">
        <f t="shared" si="50"/>
        <v>0.100503794</v>
      </c>
      <c r="T163" s="3" t="str">
        <f t="shared" si="51"/>
        <v>44,3 &amp; 99 &amp; 5,0 \pm 0,1 \\</v>
      </c>
    </row>
    <row r="164">
      <c r="A164" s="4">
        <f t="shared" si="52"/>
        <v>44.5</v>
      </c>
      <c r="B164" s="1">
        <v>118.0</v>
      </c>
      <c r="C164" s="3">
        <f t="shared" si="47"/>
        <v>5.9</v>
      </c>
      <c r="N164" s="4">
        <f t="shared" si="53"/>
        <v>44.5</v>
      </c>
      <c r="O164" s="1">
        <v>118.0</v>
      </c>
      <c r="P164" s="10">
        <f t="shared" si="48"/>
        <v>10.86278049</v>
      </c>
      <c r="Q164" s="4">
        <f t="shared" si="49"/>
        <v>5.9</v>
      </c>
      <c r="R164" s="4">
        <f t="shared" si="50"/>
        <v>0.09205747537</v>
      </c>
      <c r="T164" s="3" t="str">
        <f t="shared" ref="T164:T167" si="54">CONCATENATE(TEXT(N164, "00.0"), " &amp; ", TEXT(O164, "#"), " &amp; ", TEXT(Q164,"0.00"), " \pm ", TEXT(R164, "0.00"), " \\")</f>
        <v>44,5 &amp; 118 &amp; 5,90 \pm 0,09 \\</v>
      </c>
    </row>
    <row r="165">
      <c r="A165" s="4">
        <f t="shared" si="52"/>
        <v>44.66666667</v>
      </c>
      <c r="B165" s="1">
        <v>163.0</v>
      </c>
      <c r="C165" s="3">
        <f t="shared" si="47"/>
        <v>8.15</v>
      </c>
      <c r="N165" s="4">
        <f t="shared" si="53"/>
        <v>44.66666667</v>
      </c>
      <c r="O165" s="1">
        <v>163.0</v>
      </c>
      <c r="P165" s="10">
        <f t="shared" si="48"/>
        <v>12.76714533</v>
      </c>
      <c r="Q165" s="4">
        <f t="shared" si="49"/>
        <v>8.15</v>
      </c>
      <c r="R165" s="4">
        <f t="shared" si="50"/>
        <v>0.07832606096</v>
      </c>
      <c r="T165" s="3" t="str">
        <f t="shared" si="54"/>
        <v>44,7 &amp; 163 &amp; 8,15 \pm 0,08 \\</v>
      </c>
    </row>
    <row r="166">
      <c r="A166" s="4">
        <f t="shared" si="52"/>
        <v>44.83333333</v>
      </c>
      <c r="B166" s="1">
        <v>157.0</v>
      </c>
      <c r="C166" s="3">
        <f t="shared" si="47"/>
        <v>7.85</v>
      </c>
      <c r="N166" s="4">
        <f t="shared" si="53"/>
        <v>44.83333333</v>
      </c>
      <c r="O166" s="1">
        <v>157.0</v>
      </c>
      <c r="P166" s="10">
        <f t="shared" si="48"/>
        <v>12.52996409</v>
      </c>
      <c r="Q166" s="4">
        <f t="shared" si="49"/>
        <v>7.85</v>
      </c>
      <c r="R166" s="4">
        <f t="shared" si="50"/>
        <v>0.07980870411</v>
      </c>
      <c r="T166" s="3" t="str">
        <f t="shared" si="54"/>
        <v>44,8 &amp; 157 &amp; 7,85 \pm 0,08 \\</v>
      </c>
    </row>
    <row r="167">
      <c r="A167" s="4">
        <f t="shared" si="52"/>
        <v>45</v>
      </c>
      <c r="B167" s="1">
        <v>120.0</v>
      </c>
      <c r="C167" s="3">
        <f t="shared" si="47"/>
        <v>6</v>
      </c>
      <c r="N167" s="4">
        <f t="shared" si="53"/>
        <v>45</v>
      </c>
      <c r="O167" s="1">
        <v>120.0</v>
      </c>
      <c r="P167" s="10">
        <f t="shared" si="48"/>
        <v>10.95445115</v>
      </c>
      <c r="Q167" s="4">
        <f t="shared" si="49"/>
        <v>6</v>
      </c>
      <c r="R167" s="4">
        <f t="shared" si="50"/>
        <v>0.09128710661</v>
      </c>
      <c r="T167" s="3" t="str">
        <f t="shared" si="54"/>
        <v>45,0 &amp; 120 &amp; 6,00 \pm 0,09 \\</v>
      </c>
    </row>
    <row r="168">
      <c r="A168" s="4">
        <f t="shared" si="52"/>
        <v>45.16666667</v>
      </c>
      <c r="B168" s="1">
        <v>92.0</v>
      </c>
      <c r="C168" s="3">
        <f t="shared" si="47"/>
        <v>4.6</v>
      </c>
      <c r="N168" s="4">
        <f t="shared" si="53"/>
        <v>45.16666667</v>
      </c>
      <c r="O168" s="1">
        <v>92.0</v>
      </c>
      <c r="P168" s="10">
        <f t="shared" si="48"/>
        <v>9.591663047</v>
      </c>
      <c r="Q168" s="11">
        <f t="shared" si="49"/>
        <v>4.6</v>
      </c>
      <c r="R168" s="11">
        <f t="shared" si="50"/>
        <v>0.104257219</v>
      </c>
      <c r="T168" s="3" t="str">
        <f t="shared" ref="T168:T174" si="55">CONCATENATE(TEXT(N168, "00.0"), " &amp; ", TEXT(O168, "#"), " &amp; ", TEXT(Q168,"0.0"), " \pm ", TEXT(R168, "0.0"), " \\")</f>
        <v>45,2 &amp; 92 &amp; 4,6 \pm 0,1 \\</v>
      </c>
    </row>
    <row r="169">
      <c r="A169" s="4">
        <f t="shared" si="52"/>
        <v>45.33333333</v>
      </c>
      <c r="B169" s="1">
        <v>76.0</v>
      </c>
      <c r="C169" s="3">
        <f t="shared" si="47"/>
        <v>3.8</v>
      </c>
      <c r="N169" s="4">
        <f t="shared" si="53"/>
        <v>45.33333333</v>
      </c>
      <c r="O169" s="1">
        <v>76.0</v>
      </c>
      <c r="P169" s="10">
        <f t="shared" si="48"/>
        <v>8.717797887</v>
      </c>
      <c r="Q169" s="11">
        <f t="shared" si="49"/>
        <v>3.8</v>
      </c>
      <c r="R169" s="11">
        <f t="shared" si="50"/>
        <v>0.1147078778</v>
      </c>
      <c r="T169" s="3" t="str">
        <f t="shared" si="55"/>
        <v>45,3 &amp; 76 &amp; 3,8 \pm 0,1 \\</v>
      </c>
    </row>
    <row r="170">
      <c r="A170" s="4">
        <f t="shared" si="52"/>
        <v>45.5</v>
      </c>
      <c r="B170" s="1">
        <v>60.0</v>
      </c>
      <c r="C170" s="3">
        <f t="shared" si="47"/>
        <v>3</v>
      </c>
      <c r="N170" s="4">
        <f t="shared" si="53"/>
        <v>45.5</v>
      </c>
      <c r="O170" s="1">
        <v>60.0</v>
      </c>
      <c r="P170" s="10">
        <f t="shared" si="48"/>
        <v>7.745966692</v>
      </c>
      <c r="Q170" s="11">
        <f t="shared" si="49"/>
        <v>3</v>
      </c>
      <c r="R170" s="11">
        <f t="shared" si="50"/>
        <v>0.1290994546</v>
      </c>
      <c r="T170" s="3" t="str">
        <f t="shared" si="55"/>
        <v>45,5 &amp; 60 &amp; 3,0 \pm 0,1 \\</v>
      </c>
    </row>
    <row r="171">
      <c r="A171" s="4">
        <f t="shared" si="52"/>
        <v>45.66666667</v>
      </c>
      <c r="B171" s="1">
        <v>54.0</v>
      </c>
      <c r="C171" s="3">
        <f t="shared" si="47"/>
        <v>2.7</v>
      </c>
      <c r="N171" s="4">
        <f t="shared" si="53"/>
        <v>45.66666667</v>
      </c>
      <c r="O171" s="1">
        <v>54.0</v>
      </c>
      <c r="P171" s="10">
        <f t="shared" si="48"/>
        <v>7.348469228</v>
      </c>
      <c r="Q171" s="11">
        <f t="shared" si="49"/>
        <v>2.7</v>
      </c>
      <c r="R171" s="11">
        <f t="shared" si="50"/>
        <v>0.1360827727</v>
      </c>
      <c r="T171" s="3" t="str">
        <f t="shared" si="55"/>
        <v>45,7 &amp; 54 &amp; 2,7 \pm 0,1 \\</v>
      </c>
    </row>
    <row r="172">
      <c r="A172" s="4">
        <f t="shared" si="52"/>
        <v>45.83333333</v>
      </c>
      <c r="B172" s="1">
        <v>40.0</v>
      </c>
      <c r="C172" s="3">
        <f t="shared" si="47"/>
        <v>2</v>
      </c>
      <c r="N172" s="4">
        <f t="shared" si="53"/>
        <v>45.83333333</v>
      </c>
      <c r="O172" s="1">
        <v>40.0</v>
      </c>
      <c r="P172" s="10">
        <f t="shared" si="48"/>
        <v>6.32455532</v>
      </c>
      <c r="Q172" s="11">
        <f t="shared" si="49"/>
        <v>2</v>
      </c>
      <c r="R172" s="11">
        <f t="shared" si="50"/>
        <v>0.1581138909</v>
      </c>
      <c r="T172" s="3" t="str">
        <f t="shared" si="55"/>
        <v>45,8 &amp; 40 &amp; 2,0 \pm 0,2 \\</v>
      </c>
    </row>
    <row r="173">
      <c r="A173" s="4">
        <f t="shared" si="52"/>
        <v>46</v>
      </c>
      <c r="B173" s="1">
        <v>46.0</v>
      </c>
      <c r="C173" s="3">
        <f t="shared" si="47"/>
        <v>2.3</v>
      </c>
      <c r="N173" s="4">
        <f t="shared" si="53"/>
        <v>46</v>
      </c>
      <c r="O173" s="1">
        <v>46.0</v>
      </c>
      <c r="P173" s="10">
        <f t="shared" si="48"/>
        <v>6.782329983</v>
      </c>
      <c r="Q173" s="11">
        <f t="shared" si="49"/>
        <v>2.3</v>
      </c>
      <c r="R173" s="11">
        <f t="shared" si="50"/>
        <v>0.1474419646</v>
      </c>
      <c r="T173" s="3" t="str">
        <f t="shared" si="55"/>
        <v>46,0 &amp; 46 &amp; 2,3 \pm 0,1 \\</v>
      </c>
    </row>
    <row r="174">
      <c r="A174" s="4">
        <f t="shared" si="52"/>
        <v>46.16666667</v>
      </c>
      <c r="B174" s="1">
        <v>34.0</v>
      </c>
      <c r="C174" s="3">
        <f t="shared" si="47"/>
        <v>1.7</v>
      </c>
      <c r="N174" s="4">
        <f t="shared" si="53"/>
        <v>46.16666667</v>
      </c>
      <c r="O174" s="1">
        <v>34.0</v>
      </c>
      <c r="P174" s="10">
        <f t="shared" si="48"/>
        <v>5.830951895</v>
      </c>
      <c r="Q174" s="11">
        <f t="shared" si="49"/>
        <v>1.7</v>
      </c>
      <c r="R174" s="11">
        <f t="shared" si="50"/>
        <v>0.1714985924</v>
      </c>
      <c r="T174" s="3" t="str">
        <f t="shared" si="55"/>
        <v>46,2 &amp; 34 &amp; 1,7 \pm 0,2 \\</v>
      </c>
    </row>
  </sheetData>
  <drawing r:id="rId1"/>
</worksheet>
</file>