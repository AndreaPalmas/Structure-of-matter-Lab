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atura" sheetId="1" r:id="rId5"/>
    <sheet state="visible" name="isteresi" sheetId="2" r:id="rId6"/>
    <sheet state="visible" name="coef hall" sheetId="3" r:id="rId7"/>
    <sheet state="visible" name="mobilità" sheetId="4" r:id="rId8"/>
  </sheets>
  <definedNames/>
  <calcPr/>
</workbook>
</file>

<file path=xl/sharedStrings.xml><?xml version="1.0" encoding="utf-8"?>
<sst xmlns="http://schemas.openxmlformats.org/spreadsheetml/2006/main" count="153" uniqueCount="31">
  <si>
    <t>I (mA)</t>
  </si>
  <si>
    <t>Mappatura del magnete</t>
  </si>
  <si>
    <t>I (A)</t>
  </si>
  <si>
    <t>VH (V)</t>
  </si>
  <si>
    <t>B (mT)</t>
  </si>
  <si>
    <t>Generatore</t>
  </si>
  <si>
    <t>Amperometro</t>
  </si>
  <si>
    <t>V (V)</t>
  </si>
  <si>
    <t>y</t>
  </si>
  <si>
    <t>y=0</t>
  </si>
  <si>
    <t>y=40</t>
  </si>
  <si>
    <t>B</t>
  </si>
  <si>
    <t>questi erano in mV quindi hanno una cifra in più</t>
  </si>
  <si>
    <t>x (mm)</t>
  </si>
  <si>
    <t>y (mm)</t>
  </si>
  <si>
    <t>\hline</t>
  </si>
  <si>
    <t>x=0</t>
  </si>
  <si>
    <t>x</t>
  </si>
  <si>
    <t>x=38</t>
  </si>
  <si>
    <t>Err_B</t>
  </si>
  <si>
    <t>se da qua vengengono strani è perchè ci ha fatto alzare la corrente e poi riabbassarla</t>
  </si>
  <si>
    <t>MISURE A CAMPO MAGNETICO COSTANTE</t>
  </si>
  <si>
    <t>con campo B=0</t>
  </si>
  <si>
    <t>VH (mV)</t>
  </si>
  <si>
    <t>dovuto alla resistenza</t>
  </si>
  <si>
    <t>con campo B</t>
  </si>
  <si>
    <t>corrente nel magnete I (A)</t>
  </si>
  <si>
    <t>B (V)</t>
  </si>
  <si>
    <t>MISURE A CORRENTE INIETTATA COSTANTE</t>
  </si>
  <si>
    <t>corrente iniettata nel campione I (mA)</t>
  </si>
  <si>
    <t>Ib  (A)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</si>
</sst>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0.00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Font="1"/>
    <xf borderId="0" fillId="3" fontId="1" numFmtId="0" xfId="0" applyFill="1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2" fontId="1" numFmtId="0" xfId="0" applyFill="1" applyFont="1"/>
    <xf borderId="0" fillId="0" fontId="1" numFmtId="1" xfId="0" applyAlignment="1" applyFont="1" applyNumberFormat="1">
      <alignment readingOrder="0"/>
    </xf>
    <xf borderId="0" fillId="4" fontId="1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'coef hall'!$A$4:$A$20</c:f>
            </c:numRef>
          </c:xVal>
          <c:yVal>
            <c:numRef>
              <c:f>'coef hall'!$B$4:$B$20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384342"/>
        <c:axId val="1722774731"/>
      </c:scatterChart>
      <c:valAx>
        <c:axId val="3933843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2774731"/>
      </c:valAx>
      <c:valAx>
        <c:axId val="17227747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33843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3</xdr:row>
      <xdr:rowOff>190500</xdr:rowOff>
    </xdr:from>
    <xdr:ext cx="5715000" cy="3533775"/>
    <xdr:graphicFrame>
      <xdr:nvGraphicFramePr>
        <xdr:cNvPr id="1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  <row r="2">
      <c r="A2" s="1" t="s">
        <v>5</v>
      </c>
      <c r="D2" s="1" t="s">
        <v>6</v>
      </c>
    </row>
    <row r="3">
      <c r="A3" s="1" t="s">
        <v>2</v>
      </c>
      <c r="B3" s="1" t="s">
        <v>7</v>
      </c>
      <c r="D3" s="1" t="s">
        <v>2</v>
      </c>
      <c r="T3" s="1" t="s">
        <v>8</v>
      </c>
    </row>
    <row r="4">
      <c r="A4" s="1">
        <v>1.04</v>
      </c>
      <c r="B4" s="1">
        <v>10.5</v>
      </c>
      <c r="D4" s="1">
        <v>1.037</v>
      </c>
    </row>
    <row r="5">
      <c r="F5" s="1" t="s">
        <v>9</v>
      </c>
      <c r="N5" s="1" t="s">
        <v>10</v>
      </c>
      <c r="Q5" s="1" t="s">
        <v>11</v>
      </c>
      <c r="R5" s="3">
        <v>0.0</v>
      </c>
      <c r="S5" s="5">
        <f t="shared" ref="S5:Z5" si="1">R5+5</f>
        <v>5</v>
      </c>
      <c r="T5" s="5">
        <f t="shared" si="1"/>
        <v>10</v>
      </c>
      <c r="U5" s="5">
        <f t="shared" si="1"/>
        <v>15</v>
      </c>
      <c r="V5" s="5">
        <f t="shared" si="1"/>
        <v>20</v>
      </c>
      <c r="W5" s="5">
        <f t="shared" si="1"/>
        <v>25</v>
      </c>
      <c r="X5" s="5">
        <f t="shared" si="1"/>
        <v>30</v>
      </c>
      <c r="Y5" s="5">
        <f t="shared" si="1"/>
        <v>35</v>
      </c>
      <c r="Z5" s="5">
        <f t="shared" si="1"/>
        <v>40</v>
      </c>
      <c r="AB5" s="4" t="str">
        <f>CONCATENATE(TEXT(Q5, "#"), " &amp; ", TEXT(R5, "#"), " &amp; ",TEXT(S5, "#"), " &amp; ",TEXT(T5, "#"), " &amp; ",TEXT(U5, "#"), " &amp; ",TEXT(V5, "#"), " &amp; ",TEXT(W5, "#"), " &amp; ",TEXT(X5, "#"), " &amp; ",TEXT(Y5, "#"), " &amp; ",TEXT(Z5, "#"), " \\ ",)</f>
        <v>B &amp;  &amp; 5 &amp; 10 &amp; 15 &amp; 20 &amp; 25 &amp; 30 &amp; 35 &amp; 40 \\ </v>
      </c>
    </row>
    <row r="6">
      <c r="A6" s="1" t="s">
        <v>4</v>
      </c>
      <c r="B6" s="1" t="s">
        <v>13</v>
      </c>
      <c r="C6" s="1" t="s">
        <v>14</v>
      </c>
      <c r="AB6" s="1" t="s">
        <v>15</v>
      </c>
    </row>
    <row r="7">
      <c r="A7" s="1">
        <v>198.2</v>
      </c>
      <c r="B7" s="1">
        <v>0.0</v>
      </c>
      <c r="C7" s="1">
        <v>0.0</v>
      </c>
      <c r="E7" s="1" t="s">
        <v>16</v>
      </c>
      <c r="F7" s="1">
        <v>198.2</v>
      </c>
      <c r="G7" s="1">
        <v>217.22</v>
      </c>
      <c r="H7" s="1">
        <v>236.39</v>
      </c>
      <c r="I7" s="1">
        <v>235.41</v>
      </c>
      <c r="J7" s="9">
        <v>231.3</v>
      </c>
      <c r="K7" s="1">
        <v>226.78</v>
      </c>
      <c r="L7" s="1">
        <v>232.4</v>
      </c>
      <c r="M7" s="1">
        <v>226.3</v>
      </c>
      <c r="N7" s="1">
        <v>192.3</v>
      </c>
      <c r="Q7" s="2">
        <v>0.0</v>
      </c>
      <c r="R7" s="7">
        <v>198.2</v>
      </c>
      <c r="S7" s="7">
        <v>217.22</v>
      </c>
      <c r="T7" s="7">
        <v>236.39</v>
      </c>
      <c r="U7" s="7">
        <v>235.41</v>
      </c>
      <c r="V7" s="7">
        <v>231.3</v>
      </c>
      <c r="W7" s="7">
        <v>226.78</v>
      </c>
      <c r="X7" s="7">
        <v>232.4</v>
      </c>
      <c r="Y7" s="7">
        <v>226.3</v>
      </c>
      <c r="Z7" s="7">
        <v>192.3</v>
      </c>
      <c r="AA7" s="1"/>
      <c r="AB7" s="4" t="str">
        <f t="shared" ref="AB7:AB15" si="2">CONCATENATE(TEXT(Q7, "#"), " &amp; ", TEXT(R7, "#.0"), " &amp; ",TEXT(S7, "#.0"), " &amp; ",TEXT(T7, "#.0"), " &amp; ",TEXT(U7, "#.0"), " &amp; ",TEXT(V7, "#.0"), " &amp; ",TEXT(W7, "#.0"), " &amp; ",TEXT(X7, "#.0"), " &amp; ",TEXT(Y7, "#.0"), " &amp; ",TEXT(Z7, "#.0"), " \\ ",)</f>
        <v> &amp; 198,2 &amp; 217,2 &amp; 236,4 &amp; 235,4 &amp; 231,3 &amp; 226,8 &amp; 232,4 &amp; 226,3 &amp; 192,3 \\ </v>
      </c>
      <c r="AC7" s="1"/>
      <c r="AD7" s="1"/>
      <c r="AE7" s="1"/>
    </row>
    <row r="8">
      <c r="A8" s="1">
        <v>223.1</v>
      </c>
      <c r="B8" s="1">
        <v>5.0</v>
      </c>
      <c r="C8" s="1">
        <v>0.0</v>
      </c>
      <c r="F8" s="1">
        <v>223.1</v>
      </c>
      <c r="G8" s="9">
        <v>249.5</v>
      </c>
      <c r="H8" s="1">
        <v>255.03</v>
      </c>
      <c r="I8" s="1">
        <v>254.41</v>
      </c>
      <c r="J8" s="1">
        <v>253.35</v>
      </c>
      <c r="K8" s="1">
        <v>252.66</v>
      </c>
      <c r="L8" s="1">
        <v>253.5</v>
      </c>
      <c r="M8" s="1">
        <v>250.8</v>
      </c>
      <c r="N8" s="1">
        <v>221.7</v>
      </c>
      <c r="Q8" s="10">
        <f t="shared" ref="Q8:Q14" si="3">Q7+5</f>
        <v>5</v>
      </c>
      <c r="R8" s="7">
        <v>223.1</v>
      </c>
      <c r="S8" s="7">
        <v>249.5</v>
      </c>
      <c r="T8" s="7">
        <v>255.03</v>
      </c>
      <c r="U8" s="7">
        <v>254.41</v>
      </c>
      <c r="V8" s="7">
        <v>253.35</v>
      </c>
      <c r="W8" s="7">
        <v>252.66</v>
      </c>
      <c r="X8" s="7">
        <v>253.5</v>
      </c>
      <c r="Y8" s="7">
        <v>250.8</v>
      </c>
      <c r="Z8" s="7">
        <v>221.7</v>
      </c>
      <c r="AA8" s="1"/>
      <c r="AB8" s="4" t="str">
        <f t="shared" si="2"/>
        <v>5 &amp; 223,1 &amp; 249,5 &amp; 255,0 &amp; 254,4 &amp; 253,4 &amp; 252,7 &amp; 253,5 &amp; 250,8 &amp; 221,7 \\ </v>
      </c>
      <c r="AC8" s="1"/>
      <c r="AD8" s="1"/>
      <c r="AE8" s="1"/>
    </row>
    <row r="9">
      <c r="A9" s="1">
        <v>224.5</v>
      </c>
      <c r="B9" s="1">
        <v>10.0</v>
      </c>
      <c r="C9" s="1">
        <v>0.0</v>
      </c>
      <c r="F9" s="1">
        <v>224.5</v>
      </c>
      <c r="G9" s="1">
        <v>249.98</v>
      </c>
      <c r="H9" s="1">
        <v>255.69</v>
      </c>
      <c r="I9" s="9">
        <v>255.1</v>
      </c>
      <c r="J9" s="1">
        <v>254.12</v>
      </c>
      <c r="K9" s="1">
        <v>253.68</v>
      </c>
      <c r="L9" s="7">
        <v>254.0</v>
      </c>
      <c r="M9" s="1">
        <v>252.5</v>
      </c>
      <c r="N9" s="1">
        <v>226.1</v>
      </c>
      <c r="Q9" s="10">
        <f t="shared" si="3"/>
        <v>10</v>
      </c>
      <c r="R9" s="7">
        <v>224.5</v>
      </c>
      <c r="S9" s="7">
        <v>249.98</v>
      </c>
      <c r="T9" s="7">
        <v>255.69</v>
      </c>
      <c r="U9" s="7">
        <v>255.1</v>
      </c>
      <c r="V9" s="7">
        <v>254.12</v>
      </c>
      <c r="W9" s="7">
        <v>253.68</v>
      </c>
      <c r="X9" s="7">
        <v>254.0</v>
      </c>
      <c r="Y9" s="7">
        <v>252.5</v>
      </c>
      <c r="Z9" s="7">
        <v>226.1</v>
      </c>
      <c r="AA9" s="1"/>
      <c r="AB9" s="4" t="str">
        <f t="shared" si="2"/>
        <v>10 &amp; 224,5 &amp; 250,0 &amp; 255,7 &amp; 255,1 &amp; 254,1 &amp; 253,7 &amp; 254,0 &amp; 252,5 &amp; 226,1 \\ </v>
      </c>
      <c r="AC9" s="1"/>
      <c r="AD9" s="1"/>
      <c r="AE9" s="1"/>
    </row>
    <row r="10">
      <c r="A10" s="1">
        <v>224.4</v>
      </c>
      <c r="B10" s="1">
        <v>15.0</v>
      </c>
      <c r="C10" s="1">
        <v>0.0</v>
      </c>
      <c r="F10" s="1">
        <v>224.4</v>
      </c>
      <c r="G10" s="1">
        <v>250.35</v>
      </c>
      <c r="H10" s="9">
        <v>254.6</v>
      </c>
      <c r="I10" s="1">
        <v>254.66</v>
      </c>
      <c r="J10" s="1">
        <v>253.66</v>
      </c>
      <c r="K10" s="1">
        <v>253.35</v>
      </c>
      <c r="L10" s="1">
        <v>253.6</v>
      </c>
      <c r="M10" s="1">
        <v>251.9</v>
      </c>
      <c r="N10" s="1">
        <v>222.2</v>
      </c>
      <c r="P10" s="1" t="s">
        <v>17</v>
      </c>
      <c r="Q10" s="10">
        <f t="shared" si="3"/>
        <v>15</v>
      </c>
      <c r="R10" s="7">
        <v>224.4</v>
      </c>
      <c r="S10" s="7">
        <v>250.35</v>
      </c>
      <c r="T10" s="7">
        <v>254.6</v>
      </c>
      <c r="U10" s="7">
        <v>254.66</v>
      </c>
      <c r="V10" s="7">
        <v>253.66</v>
      </c>
      <c r="W10" s="7">
        <v>253.35</v>
      </c>
      <c r="X10" s="7">
        <v>253.6</v>
      </c>
      <c r="Y10" s="7">
        <v>251.9</v>
      </c>
      <c r="Z10" s="7">
        <v>222.2</v>
      </c>
      <c r="AA10" s="1"/>
      <c r="AB10" s="4" t="str">
        <f t="shared" si="2"/>
        <v>15 &amp; 224,4 &amp; 250,4 &amp; 254,6 &amp; 254,7 &amp; 253,7 &amp; 253,4 &amp; 253,6 &amp; 251,9 &amp; 222,2 \\ </v>
      </c>
      <c r="AC10" s="1"/>
      <c r="AD10" s="1"/>
      <c r="AE10" s="1"/>
    </row>
    <row r="11">
      <c r="A11" s="1">
        <v>225.4</v>
      </c>
      <c r="B11" s="1">
        <v>20.0</v>
      </c>
      <c r="C11" s="1">
        <v>0.0</v>
      </c>
      <c r="F11" s="1">
        <v>225.4</v>
      </c>
      <c r="G11" s="1">
        <v>249.88</v>
      </c>
      <c r="H11" s="1">
        <v>254.42</v>
      </c>
      <c r="I11" s="1">
        <v>254.45</v>
      </c>
      <c r="J11" s="1">
        <v>252.95</v>
      </c>
      <c r="K11" s="1">
        <v>253.16</v>
      </c>
      <c r="L11" s="1">
        <v>253.5</v>
      </c>
      <c r="M11" s="1">
        <v>252.8</v>
      </c>
      <c r="N11" s="1">
        <v>222.1</v>
      </c>
      <c r="Q11" s="10">
        <f t="shared" si="3"/>
        <v>20</v>
      </c>
      <c r="R11" s="7">
        <v>225.4</v>
      </c>
      <c r="S11" s="7">
        <v>249.88</v>
      </c>
      <c r="T11" s="7">
        <v>254.42</v>
      </c>
      <c r="U11" s="7">
        <v>254.45</v>
      </c>
      <c r="V11" s="7">
        <v>252.95</v>
      </c>
      <c r="W11" s="7">
        <v>253.16</v>
      </c>
      <c r="X11" s="7">
        <v>253.5</v>
      </c>
      <c r="Y11" s="7">
        <v>252.8</v>
      </c>
      <c r="Z11" s="7">
        <v>222.1</v>
      </c>
      <c r="AA11" s="1"/>
      <c r="AB11" s="4" t="str">
        <f t="shared" si="2"/>
        <v>20 &amp; 225,4 &amp; 249,9 &amp; 254,4 &amp; 254,5 &amp; 253,0 &amp; 253,2 &amp; 253,5 &amp; 252,8 &amp; 222,1 \\ </v>
      </c>
      <c r="AC11" s="1"/>
      <c r="AD11" s="1"/>
      <c r="AE11" s="1"/>
    </row>
    <row r="12">
      <c r="A12" s="1">
        <v>224.3</v>
      </c>
      <c r="B12" s="1">
        <v>25.0</v>
      </c>
      <c r="C12" s="1">
        <v>0.0</v>
      </c>
      <c r="F12" s="1">
        <v>224.3</v>
      </c>
      <c r="G12" s="1">
        <v>249.95</v>
      </c>
      <c r="H12" s="9">
        <v>255.1</v>
      </c>
      <c r="I12" s="1">
        <v>254.41</v>
      </c>
      <c r="J12" s="9">
        <v>253.1</v>
      </c>
      <c r="K12" s="9">
        <v>253.2</v>
      </c>
      <c r="L12" s="1">
        <v>253.4</v>
      </c>
      <c r="M12" s="1">
        <v>252.8</v>
      </c>
      <c r="N12" s="7">
        <v>223.0</v>
      </c>
      <c r="Q12" s="10">
        <f t="shared" si="3"/>
        <v>25</v>
      </c>
      <c r="R12" s="7">
        <v>224.3</v>
      </c>
      <c r="S12" s="7">
        <v>249.95</v>
      </c>
      <c r="T12" s="7">
        <v>255.1</v>
      </c>
      <c r="U12" s="7">
        <v>254.41</v>
      </c>
      <c r="V12" s="7">
        <v>253.1</v>
      </c>
      <c r="W12" s="7">
        <v>253.2</v>
      </c>
      <c r="X12" s="7">
        <v>253.4</v>
      </c>
      <c r="Y12" s="7">
        <v>252.8</v>
      </c>
      <c r="Z12" s="7">
        <v>223.0</v>
      </c>
      <c r="AA12" s="7"/>
      <c r="AB12" s="4" t="str">
        <f t="shared" si="2"/>
        <v>25 &amp; 224,3 &amp; 250,0 &amp; 255,1 &amp; 254,4 &amp; 253,1 &amp; 253,2 &amp; 253,4 &amp; 252,8 &amp; 223,0 \\ </v>
      </c>
      <c r="AC12" s="7"/>
      <c r="AD12" s="7"/>
      <c r="AE12" s="7"/>
    </row>
    <row r="13">
      <c r="A13" s="1">
        <v>223.1</v>
      </c>
      <c r="B13" s="1">
        <v>30.0</v>
      </c>
      <c r="C13" s="1">
        <v>0.0</v>
      </c>
      <c r="F13" s="1">
        <v>223.1</v>
      </c>
      <c r="G13" s="1">
        <v>250.06</v>
      </c>
      <c r="H13" s="1">
        <v>254.94</v>
      </c>
      <c r="I13" s="1">
        <v>254.56</v>
      </c>
      <c r="J13" s="1">
        <v>252.97</v>
      </c>
      <c r="K13" s="1">
        <v>253.17</v>
      </c>
      <c r="L13" s="7">
        <v>253.0</v>
      </c>
      <c r="M13" s="1">
        <v>252.2</v>
      </c>
      <c r="N13" s="1">
        <v>221.3</v>
      </c>
      <c r="Q13" s="10">
        <f t="shared" si="3"/>
        <v>30</v>
      </c>
      <c r="R13" s="7">
        <v>223.1</v>
      </c>
      <c r="S13" s="7">
        <v>250.06</v>
      </c>
      <c r="T13" s="7">
        <v>254.94</v>
      </c>
      <c r="U13" s="7">
        <v>254.56</v>
      </c>
      <c r="V13" s="7">
        <v>252.97</v>
      </c>
      <c r="W13" s="7">
        <v>253.17</v>
      </c>
      <c r="X13" s="7">
        <v>253.0</v>
      </c>
      <c r="Y13" s="7">
        <v>252.2</v>
      </c>
      <c r="Z13" s="7">
        <v>221.3</v>
      </c>
      <c r="AA13" s="1"/>
      <c r="AB13" s="4" t="str">
        <f t="shared" si="2"/>
        <v>30 &amp; 223,1 &amp; 250,1 &amp; 254,9 &amp; 254,6 &amp; 253,0 &amp; 253,2 &amp; 253,0 &amp; 252,2 &amp; 221,3 \\ </v>
      </c>
      <c r="AC13" s="1"/>
      <c r="AD13" s="1"/>
      <c r="AE13" s="1"/>
    </row>
    <row r="14">
      <c r="A14" s="1">
        <v>214.1</v>
      </c>
      <c r="B14" s="1">
        <v>35.0</v>
      </c>
      <c r="C14" s="1">
        <v>0.0</v>
      </c>
      <c r="F14" s="1">
        <v>214.1</v>
      </c>
      <c r="G14" s="1">
        <v>242.99</v>
      </c>
      <c r="H14" s="1">
        <v>244.91</v>
      </c>
      <c r="I14" s="1">
        <v>248.25</v>
      </c>
      <c r="J14" s="1">
        <v>247.96</v>
      </c>
      <c r="K14" s="1">
        <v>247.36</v>
      </c>
      <c r="L14" s="1">
        <v>247.9</v>
      </c>
      <c r="M14" s="1">
        <v>247.4</v>
      </c>
      <c r="N14" s="7">
        <v>218.0</v>
      </c>
      <c r="Q14" s="10">
        <f t="shared" si="3"/>
        <v>35</v>
      </c>
      <c r="R14" s="7">
        <v>214.1</v>
      </c>
      <c r="S14" s="7">
        <v>242.99</v>
      </c>
      <c r="T14" s="7">
        <v>244.91</v>
      </c>
      <c r="U14" s="7">
        <v>248.25</v>
      </c>
      <c r="V14" s="7">
        <v>247.96</v>
      </c>
      <c r="W14" s="7">
        <v>247.36</v>
      </c>
      <c r="X14" s="7">
        <v>247.9</v>
      </c>
      <c r="Y14" s="7">
        <v>247.4</v>
      </c>
      <c r="Z14" s="7">
        <v>218.0</v>
      </c>
      <c r="AA14" s="7"/>
      <c r="AB14" s="4" t="str">
        <f t="shared" si="2"/>
        <v>35 &amp; 214,1 &amp; 243,0 &amp; 244,9 &amp; 248,3 &amp; 248,0 &amp; 247,4 &amp; 247,9 &amp; 247,4 &amp; 218,0 \\ </v>
      </c>
      <c r="AC14" s="7"/>
      <c r="AD14" s="7"/>
      <c r="AE14" s="7"/>
    </row>
    <row r="15">
      <c r="A15" s="1">
        <v>192.3</v>
      </c>
      <c r="B15" s="1">
        <v>38.0</v>
      </c>
      <c r="C15" s="1">
        <v>0.0</v>
      </c>
      <c r="E15" s="1" t="s">
        <v>18</v>
      </c>
      <c r="F15" s="1">
        <v>192.3</v>
      </c>
      <c r="G15" s="1">
        <v>209.87</v>
      </c>
      <c r="H15" s="9">
        <v>238.3</v>
      </c>
      <c r="I15" s="1">
        <v>223.76</v>
      </c>
      <c r="J15" s="1">
        <v>237.11</v>
      </c>
      <c r="K15" s="1">
        <v>221.14</v>
      </c>
      <c r="L15" s="1">
        <v>226.4</v>
      </c>
      <c r="M15" s="1">
        <v>226.2</v>
      </c>
      <c r="N15" s="1">
        <v>197.1</v>
      </c>
      <c r="Q15" s="2">
        <v>38.0</v>
      </c>
      <c r="R15" s="7">
        <v>192.3</v>
      </c>
      <c r="S15" s="7">
        <v>209.87</v>
      </c>
      <c r="T15" s="7">
        <v>238.3</v>
      </c>
      <c r="U15" s="7">
        <v>223.76</v>
      </c>
      <c r="V15" s="7">
        <v>237.11</v>
      </c>
      <c r="W15" s="7">
        <v>221.14</v>
      </c>
      <c r="X15" s="7">
        <v>226.4</v>
      </c>
      <c r="Y15" s="7">
        <v>226.2</v>
      </c>
      <c r="Z15" s="7">
        <v>197.1</v>
      </c>
      <c r="AA15" s="1"/>
      <c r="AB15" s="4" t="str">
        <f t="shared" si="2"/>
        <v>38 &amp; 192,3 &amp; 209,9 &amp; 238,3 &amp; 223,8 &amp; 237,1 &amp; 221,1 &amp; 226,4 &amp; 226,2 &amp; 197,1 \\ </v>
      </c>
      <c r="AC15" s="1"/>
      <c r="AD15" s="1"/>
      <c r="AE15" s="1"/>
    </row>
    <row r="16">
      <c r="A16" s="1">
        <v>217.22</v>
      </c>
      <c r="B16" s="1">
        <v>0.0</v>
      </c>
      <c r="C16" s="1">
        <v>5.0</v>
      </c>
      <c r="T16" s="1" t="s">
        <v>8</v>
      </c>
    </row>
    <row r="17">
      <c r="A17" s="9">
        <v>249.5</v>
      </c>
      <c r="B17" s="1">
        <v>5.0</v>
      </c>
      <c r="C17" s="1">
        <v>5.0</v>
      </c>
      <c r="F17" s="1" t="s">
        <v>9</v>
      </c>
      <c r="N17" s="1" t="s">
        <v>10</v>
      </c>
    </row>
    <row r="18">
      <c r="A18" s="1">
        <v>249.98</v>
      </c>
      <c r="B18" s="1">
        <v>10.0</v>
      </c>
      <c r="C18" s="1">
        <v>5.0</v>
      </c>
      <c r="Q18" s="1" t="s">
        <v>19</v>
      </c>
      <c r="R18" s="3">
        <v>0.0</v>
      </c>
      <c r="S18" s="5">
        <f t="shared" ref="S18:Z18" si="4">R18+5</f>
        <v>5</v>
      </c>
      <c r="T18" s="5">
        <f t="shared" si="4"/>
        <v>10</v>
      </c>
      <c r="U18" s="5">
        <f t="shared" si="4"/>
        <v>15</v>
      </c>
      <c r="V18" s="5">
        <f t="shared" si="4"/>
        <v>20</v>
      </c>
      <c r="W18" s="5">
        <f t="shared" si="4"/>
        <v>25</v>
      </c>
      <c r="X18" s="5">
        <f t="shared" si="4"/>
        <v>30</v>
      </c>
      <c r="Y18" s="5">
        <f t="shared" si="4"/>
        <v>35</v>
      </c>
      <c r="Z18" s="5">
        <f t="shared" si="4"/>
        <v>40</v>
      </c>
    </row>
    <row r="19">
      <c r="A19" s="1">
        <v>250.35</v>
      </c>
      <c r="B19" s="1">
        <v>15.0</v>
      </c>
      <c r="C19" s="1">
        <v>5.0</v>
      </c>
      <c r="E19" s="1" t="s">
        <v>16</v>
      </c>
      <c r="F19" s="11">
        <v>198.2</v>
      </c>
      <c r="G19" s="11">
        <v>217.22</v>
      </c>
      <c r="H19" s="11">
        <v>236.39</v>
      </c>
      <c r="I19" s="11">
        <v>235.41</v>
      </c>
      <c r="J19" s="11">
        <v>231.3</v>
      </c>
      <c r="K19" s="11">
        <v>226.78</v>
      </c>
      <c r="L19" s="11">
        <v>232.4</v>
      </c>
      <c r="M19" s="11">
        <v>226.3</v>
      </c>
      <c r="N19" s="11">
        <v>192.3</v>
      </c>
    </row>
    <row r="20">
      <c r="A20" s="1">
        <v>249.88</v>
      </c>
      <c r="B20" s="1">
        <v>20.0</v>
      </c>
      <c r="C20" s="1">
        <v>5.0</v>
      </c>
      <c r="F20" s="11">
        <v>223.1</v>
      </c>
      <c r="G20" s="11">
        <v>249.5</v>
      </c>
      <c r="H20" s="11">
        <v>255.03</v>
      </c>
      <c r="I20" s="11">
        <v>254.41</v>
      </c>
      <c r="J20" s="11">
        <v>253.35</v>
      </c>
      <c r="K20" s="11">
        <v>252.66</v>
      </c>
      <c r="L20" s="11">
        <v>253.5</v>
      </c>
      <c r="M20" s="11">
        <v>250.8</v>
      </c>
      <c r="N20" s="11">
        <v>221.7</v>
      </c>
      <c r="Q20" s="2">
        <v>0.0</v>
      </c>
      <c r="R20" s="11">
        <f t="shared" ref="R20:Z20" si="5">1+ABS(0.05*R7)</f>
        <v>10.91</v>
      </c>
      <c r="S20" s="11">
        <f t="shared" si="5"/>
        <v>11.861</v>
      </c>
      <c r="T20" s="11">
        <f t="shared" si="5"/>
        <v>12.8195</v>
      </c>
      <c r="U20" s="11">
        <f t="shared" si="5"/>
        <v>12.7705</v>
      </c>
      <c r="V20" s="11">
        <f t="shared" si="5"/>
        <v>12.565</v>
      </c>
      <c r="W20" s="11">
        <f t="shared" si="5"/>
        <v>12.339</v>
      </c>
      <c r="X20" s="11">
        <f t="shared" si="5"/>
        <v>12.62</v>
      </c>
      <c r="Y20" s="11">
        <f t="shared" si="5"/>
        <v>12.315</v>
      </c>
      <c r="Z20" s="11">
        <f t="shared" si="5"/>
        <v>10.615</v>
      </c>
      <c r="AA20" s="1"/>
      <c r="AB20" s="1"/>
      <c r="AC20" s="1"/>
      <c r="AD20" s="1"/>
      <c r="AE20" s="1"/>
    </row>
    <row r="21">
      <c r="A21" s="1">
        <v>249.95</v>
      </c>
      <c r="B21" s="1">
        <v>25.0</v>
      </c>
      <c r="C21" s="1">
        <v>5.0</v>
      </c>
      <c r="F21" s="11">
        <v>224.5</v>
      </c>
      <c r="G21" s="11">
        <v>249.98</v>
      </c>
      <c r="H21" s="11">
        <v>255.69</v>
      </c>
      <c r="I21" s="11">
        <v>255.1</v>
      </c>
      <c r="J21" s="11">
        <v>254.12</v>
      </c>
      <c r="K21" s="11">
        <v>253.68</v>
      </c>
      <c r="L21" s="11">
        <v>254.0</v>
      </c>
      <c r="M21" s="11">
        <v>252.5</v>
      </c>
      <c r="N21" s="11">
        <v>226.1</v>
      </c>
      <c r="Q21" s="10">
        <f t="shared" ref="Q21:Q27" si="7">Q20+5</f>
        <v>5</v>
      </c>
      <c r="R21" s="11">
        <f t="shared" ref="R21:Z21" si="6">1+ABS(0.05*R8)</f>
        <v>12.155</v>
      </c>
      <c r="S21" s="11">
        <f t="shared" si="6"/>
        <v>13.475</v>
      </c>
      <c r="T21" s="11">
        <f t="shared" si="6"/>
        <v>13.7515</v>
      </c>
      <c r="U21" s="11">
        <f t="shared" si="6"/>
        <v>13.7205</v>
      </c>
      <c r="V21" s="11">
        <f t="shared" si="6"/>
        <v>13.6675</v>
      </c>
      <c r="W21" s="11">
        <f t="shared" si="6"/>
        <v>13.633</v>
      </c>
      <c r="X21" s="11">
        <f t="shared" si="6"/>
        <v>13.675</v>
      </c>
      <c r="Y21" s="11">
        <f t="shared" si="6"/>
        <v>13.54</v>
      </c>
      <c r="Z21" s="11">
        <f t="shared" si="6"/>
        <v>12.085</v>
      </c>
      <c r="AA21" s="1"/>
      <c r="AB21" s="1"/>
      <c r="AC21" s="1"/>
      <c r="AD21" s="1"/>
      <c r="AE21" s="1"/>
    </row>
    <row r="22">
      <c r="A22" s="1">
        <v>250.06</v>
      </c>
      <c r="B22" s="1">
        <v>30.0</v>
      </c>
      <c r="C22" s="1">
        <v>5.0</v>
      </c>
      <c r="F22" s="11">
        <v>224.4</v>
      </c>
      <c r="G22" s="11">
        <v>250.35</v>
      </c>
      <c r="H22" s="11">
        <v>254.6</v>
      </c>
      <c r="I22" s="11">
        <v>254.66</v>
      </c>
      <c r="J22" s="11">
        <v>253.66</v>
      </c>
      <c r="K22" s="11">
        <v>253.35</v>
      </c>
      <c r="L22" s="11">
        <v>253.6</v>
      </c>
      <c r="M22" s="11">
        <v>251.9</v>
      </c>
      <c r="N22" s="11">
        <v>222.2</v>
      </c>
      <c r="Q22" s="10">
        <f t="shared" si="7"/>
        <v>10</v>
      </c>
      <c r="R22" s="11">
        <f t="shared" ref="R22:Z22" si="8">1+ABS(0.05*R9)</f>
        <v>12.225</v>
      </c>
      <c r="S22" s="11">
        <f t="shared" si="8"/>
        <v>13.499</v>
      </c>
      <c r="T22" s="11">
        <f t="shared" si="8"/>
        <v>13.7845</v>
      </c>
      <c r="U22" s="11">
        <f t="shared" si="8"/>
        <v>13.755</v>
      </c>
      <c r="V22" s="11">
        <f t="shared" si="8"/>
        <v>13.706</v>
      </c>
      <c r="W22" s="11">
        <f t="shared" si="8"/>
        <v>13.684</v>
      </c>
      <c r="X22" s="11">
        <f t="shared" si="8"/>
        <v>13.7</v>
      </c>
      <c r="Y22" s="11">
        <f t="shared" si="8"/>
        <v>13.625</v>
      </c>
      <c r="Z22" s="11">
        <f t="shared" si="8"/>
        <v>12.305</v>
      </c>
      <c r="AA22" s="1"/>
      <c r="AB22" s="1"/>
      <c r="AC22" s="1"/>
      <c r="AD22" s="1"/>
      <c r="AE22" s="1"/>
    </row>
    <row r="23">
      <c r="A23" s="1">
        <v>242.99</v>
      </c>
      <c r="B23" s="1">
        <v>35.0</v>
      </c>
      <c r="C23" s="1">
        <v>5.0</v>
      </c>
      <c r="F23" s="11">
        <v>225.4</v>
      </c>
      <c r="G23" s="11">
        <v>249.88</v>
      </c>
      <c r="H23" s="11">
        <v>254.42</v>
      </c>
      <c r="I23" s="11">
        <v>254.45</v>
      </c>
      <c r="J23" s="11">
        <v>252.95</v>
      </c>
      <c r="K23" s="11">
        <v>253.16</v>
      </c>
      <c r="L23" s="11">
        <v>253.5</v>
      </c>
      <c r="M23" s="11">
        <v>252.8</v>
      </c>
      <c r="N23" s="11">
        <v>222.1</v>
      </c>
      <c r="P23" s="1" t="s">
        <v>17</v>
      </c>
      <c r="Q23" s="10">
        <f t="shared" si="7"/>
        <v>15</v>
      </c>
      <c r="R23" s="11">
        <f t="shared" ref="R23:Z23" si="9">1+ABS(0.05*R10)</f>
        <v>12.22</v>
      </c>
      <c r="S23" s="11">
        <f t="shared" si="9"/>
        <v>13.5175</v>
      </c>
      <c r="T23" s="11">
        <f t="shared" si="9"/>
        <v>13.73</v>
      </c>
      <c r="U23" s="11">
        <f t="shared" si="9"/>
        <v>13.733</v>
      </c>
      <c r="V23" s="11">
        <f t="shared" si="9"/>
        <v>13.683</v>
      </c>
      <c r="W23" s="11">
        <f t="shared" si="9"/>
        <v>13.6675</v>
      </c>
      <c r="X23" s="11">
        <f t="shared" si="9"/>
        <v>13.68</v>
      </c>
      <c r="Y23" s="11">
        <f t="shared" si="9"/>
        <v>13.595</v>
      </c>
      <c r="Z23" s="11">
        <f t="shared" si="9"/>
        <v>12.11</v>
      </c>
      <c r="AA23" s="1"/>
      <c r="AB23" s="1"/>
      <c r="AC23" s="1"/>
      <c r="AD23" s="1"/>
      <c r="AE23" s="1"/>
    </row>
    <row r="24">
      <c r="A24" s="1">
        <v>209.87</v>
      </c>
      <c r="B24" s="1">
        <v>38.0</v>
      </c>
      <c r="C24" s="1">
        <v>5.0</v>
      </c>
      <c r="F24" s="11">
        <v>224.3</v>
      </c>
      <c r="G24" s="11">
        <v>249.95</v>
      </c>
      <c r="H24" s="11">
        <v>255.1</v>
      </c>
      <c r="I24" s="11">
        <v>254.41</v>
      </c>
      <c r="J24" s="11">
        <v>253.1</v>
      </c>
      <c r="K24" s="11">
        <v>253.2</v>
      </c>
      <c r="L24" s="11">
        <v>253.4</v>
      </c>
      <c r="M24" s="11">
        <v>252.8</v>
      </c>
      <c r="N24" s="11">
        <v>223.0</v>
      </c>
      <c r="Q24" s="10">
        <f t="shared" si="7"/>
        <v>20</v>
      </c>
      <c r="R24" s="11">
        <f t="shared" ref="R24:Z24" si="10">1+ABS(0.05*R11)</f>
        <v>12.27</v>
      </c>
      <c r="S24" s="11">
        <f t="shared" si="10"/>
        <v>13.494</v>
      </c>
      <c r="T24" s="11">
        <f t="shared" si="10"/>
        <v>13.721</v>
      </c>
      <c r="U24" s="11">
        <f t="shared" si="10"/>
        <v>13.7225</v>
      </c>
      <c r="V24" s="11">
        <f t="shared" si="10"/>
        <v>13.6475</v>
      </c>
      <c r="W24" s="11">
        <f t="shared" si="10"/>
        <v>13.658</v>
      </c>
      <c r="X24" s="11">
        <f t="shared" si="10"/>
        <v>13.675</v>
      </c>
      <c r="Y24" s="11">
        <f t="shared" si="10"/>
        <v>13.64</v>
      </c>
      <c r="Z24" s="11">
        <f t="shared" si="10"/>
        <v>12.105</v>
      </c>
      <c r="AA24" s="1"/>
      <c r="AB24" s="1"/>
      <c r="AC24" s="1"/>
      <c r="AD24" s="1"/>
      <c r="AE24" s="1"/>
    </row>
    <row r="25">
      <c r="A25" s="1">
        <v>236.39</v>
      </c>
      <c r="B25" s="1">
        <v>0.0</v>
      </c>
      <c r="C25" s="1">
        <v>10.0</v>
      </c>
      <c r="F25" s="11">
        <v>223.1</v>
      </c>
      <c r="G25" s="11">
        <v>250.06</v>
      </c>
      <c r="H25" s="11">
        <v>254.94</v>
      </c>
      <c r="I25" s="11">
        <v>254.56</v>
      </c>
      <c r="J25" s="11">
        <v>252.97</v>
      </c>
      <c r="K25" s="11">
        <v>253.17</v>
      </c>
      <c r="L25" s="11">
        <v>253.0</v>
      </c>
      <c r="M25" s="11">
        <v>252.2</v>
      </c>
      <c r="N25" s="11">
        <v>221.3</v>
      </c>
      <c r="Q25" s="10">
        <f t="shared" si="7"/>
        <v>25</v>
      </c>
      <c r="R25" s="11">
        <f t="shared" ref="R25:Z25" si="11">1+ABS(0.05*R12)</f>
        <v>12.215</v>
      </c>
      <c r="S25" s="11">
        <f t="shared" si="11"/>
        <v>13.4975</v>
      </c>
      <c r="T25" s="11">
        <f t="shared" si="11"/>
        <v>13.755</v>
      </c>
      <c r="U25" s="11">
        <f t="shared" si="11"/>
        <v>13.7205</v>
      </c>
      <c r="V25" s="11">
        <f t="shared" si="11"/>
        <v>13.655</v>
      </c>
      <c r="W25" s="11">
        <f t="shared" si="11"/>
        <v>13.66</v>
      </c>
      <c r="X25" s="11">
        <f t="shared" si="11"/>
        <v>13.67</v>
      </c>
      <c r="Y25" s="11">
        <f t="shared" si="11"/>
        <v>13.64</v>
      </c>
      <c r="Z25" s="11">
        <f t="shared" si="11"/>
        <v>12.15</v>
      </c>
      <c r="AA25" s="1"/>
      <c r="AB25" s="1"/>
      <c r="AC25" s="1"/>
      <c r="AD25" s="1"/>
      <c r="AE25" s="1"/>
    </row>
    <row r="26">
      <c r="A26" s="1">
        <v>255.03</v>
      </c>
      <c r="B26" s="1">
        <v>5.0</v>
      </c>
      <c r="C26" s="1">
        <v>10.0</v>
      </c>
      <c r="F26" s="11">
        <v>214.1</v>
      </c>
      <c r="G26" s="11">
        <v>242.99</v>
      </c>
      <c r="H26" s="11">
        <v>244.91</v>
      </c>
      <c r="I26" s="11">
        <v>248.25</v>
      </c>
      <c r="J26" s="11">
        <v>247.96</v>
      </c>
      <c r="K26" s="11">
        <v>247.36</v>
      </c>
      <c r="L26" s="11">
        <v>247.9</v>
      </c>
      <c r="M26" s="11">
        <v>247.4</v>
      </c>
      <c r="N26" s="11">
        <v>218.0</v>
      </c>
      <c r="Q26" s="10">
        <f t="shared" si="7"/>
        <v>30</v>
      </c>
      <c r="R26" s="11">
        <f t="shared" ref="R26:Z26" si="12">1+ABS(0.05*R13)</f>
        <v>12.155</v>
      </c>
      <c r="S26" s="11">
        <f t="shared" si="12"/>
        <v>13.503</v>
      </c>
      <c r="T26" s="11">
        <f t="shared" si="12"/>
        <v>13.747</v>
      </c>
      <c r="U26" s="11">
        <f t="shared" si="12"/>
        <v>13.728</v>
      </c>
      <c r="V26" s="11">
        <f t="shared" si="12"/>
        <v>13.6485</v>
      </c>
      <c r="W26" s="11">
        <f t="shared" si="12"/>
        <v>13.6585</v>
      </c>
      <c r="X26" s="11">
        <f t="shared" si="12"/>
        <v>13.65</v>
      </c>
      <c r="Y26" s="11">
        <f t="shared" si="12"/>
        <v>13.61</v>
      </c>
      <c r="Z26" s="11">
        <f t="shared" si="12"/>
        <v>12.065</v>
      </c>
      <c r="AA26" s="1"/>
      <c r="AB26" s="1"/>
      <c r="AC26" s="1"/>
      <c r="AD26" s="1"/>
      <c r="AE26" s="1"/>
    </row>
    <row r="27">
      <c r="A27" s="1">
        <v>255.69</v>
      </c>
      <c r="B27" s="1">
        <v>10.0</v>
      </c>
      <c r="C27" s="1">
        <v>10.0</v>
      </c>
      <c r="E27" s="1" t="s">
        <v>18</v>
      </c>
      <c r="F27" s="11">
        <v>192.3</v>
      </c>
      <c r="G27" s="11">
        <v>209.87</v>
      </c>
      <c r="H27" s="11">
        <v>238.3</v>
      </c>
      <c r="I27" s="11">
        <v>223.76</v>
      </c>
      <c r="J27" s="11">
        <v>237.11</v>
      </c>
      <c r="K27" s="11">
        <v>221.14</v>
      </c>
      <c r="L27" s="11">
        <v>226.4</v>
      </c>
      <c r="M27" s="11">
        <v>226.2</v>
      </c>
      <c r="N27" s="11">
        <v>197.1</v>
      </c>
      <c r="Q27" s="10">
        <f t="shared" si="7"/>
        <v>35</v>
      </c>
      <c r="R27" s="11">
        <f t="shared" ref="R27:Z27" si="13">1+ABS(0.05*R14)</f>
        <v>11.705</v>
      </c>
      <c r="S27" s="11">
        <f t="shared" si="13"/>
        <v>13.1495</v>
      </c>
      <c r="T27" s="11">
        <f t="shared" si="13"/>
        <v>13.2455</v>
      </c>
      <c r="U27" s="11">
        <f t="shared" si="13"/>
        <v>13.4125</v>
      </c>
      <c r="V27" s="11">
        <f t="shared" si="13"/>
        <v>13.398</v>
      </c>
      <c r="W27" s="11">
        <f t="shared" si="13"/>
        <v>13.368</v>
      </c>
      <c r="X27" s="11">
        <f t="shared" si="13"/>
        <v>13.395</v>
      </c>
      <c r="Y27" s="11">
        <f t="shared" si="13"/>
        <v>13.37</v>
      </c>
      <c r="Z27" s="11">
        <f t="shared" si="13"/>
        <v>11.9</v>
      </c>
      <c r="AA27" s="1"/>
      <c r="AB27" s="1"/>
      <c r="AC27" s="1"/>
      <c r="AD27" s="1"/>
      <c r="AE27" s="1"/>
    </row>
    <row r="28">
      <c r="A28" s="9">
        <v>254.6</v>
      </c>
      <c r="B28" s="1">
        <v>15.0</v>
      </c>
      <c r="C28" s="1">
        <v>10.0</v>
      </c>
      <c r="Q28" s="2">
        <v>38.0</v>
      </c>
      <c r="R28" s="11">
        <f t="shared" ref="R28:Z28" si="14">1+ABS(0.05*R15)</f>
        <v>10.615</v>
      </c>
      <c r="S28" s="11">
        <f t="shared" si="14"/>
        <v>11.4935</v>
      </c>
      <c r="T28" s="11">
        <f t="shared" si="14"/>
        <v>12.915</v>
      </c>
      <c r="U28" s="11">
        <f t="shared" si="14"/>
        <v>12.188</v>
      </c>
      <c r="V28" s="11">
        <f t="shared" si="14"/>
        <v>12.8555</v>
      </c>
      <c r="W28" s="11">
        <f t="shared" si="14"/>
        <v>12.057</v>
      </c>
      <c r="X28" s="11">
        <f t="shared" si="14"/>
        <v>12.32</v>
      </c>
      <c r="Y28" s="11">
        <f t="shared" si="14"/>
        <v>12.31</v>
      </c>
      <c r="Z28" s="11">
        <f t="shared" si="14"/>
        <v>10.855</v>
      </c>
      <c r="AA28" s="1"/>
      <c r="AB28" s="1"/>
      <c r="AC28" s="1"/>
      <c r="AD28" s="1"/>
      <c r="AE28" s="1"/>
    </row>
    <row r="29">
      <c r="A29" s="1">
        <v>254.42</v>
      </c>
      <c r="B29" s="1">
        <v>20.0</v>
      </c>
      <c r="C29" s="1">
        <v>10.0</v>
      </c>
    </row>
    <row r="30">
      <c r="A30" s="9">
        <v>255.1</v>
      </c>
      <c r="B30" s="1">
        <v>25.0</v>
      </c>
      <c r="C30" s="1">
        <v>10.0</v>
      </c>
    </row>
    <row r="31">
      <c r="A31" s="1">
        <v>254.94</v>
      </c>
      <c r="B31" s="1">
        <v>30.0</v>
      </c>
      <c r="C31" s="1">
        <v>10.0</v>
      </c>
    </row>
    <row r="32">
      <c r="A32" s="1">
        <v>244.91</v>
      </c>
      <c r="B32" s="1">
        <v>35.0</v>
      </c>
      <c r="C32" s="1">
        <v>10.0</v>
      </c>
    </row>
    <row r="33">
      <c r="A33" s="9">
        <v>238.3</v>
      </c>
      <c r="B33" s="1">
        <v>38.0</v>
      </c>
      <c r="C33" s="1">
        <v>10.0</v>
      </c>
    </row>
    <row r="34">
      <c r="A34" s="1">
        <v>235.41</v>
      </c>
      <c r="B34" s="1">
        <v>0.0</v>
      </c>
      <c r="C34" s="1">
        <v>15.0</v>
      </c>
    </row>
    <row r="35">
      <c r="A35" s="1">
        <v>254.41</v>
      </c>
      <c r="B35" s="1">
        <v>5.0</v>
      </c>
      <c r="C35" s="1">
        <v>15.0</v>
      </c>
    </row>
    <row r="36">
      <c r="A36" s="9">
        <v>255.1</v>
      </c>
      <c r="B36" s="1">
        <v>10.0</v>
      </c>
      <c r="C36" s="1">
        <v>15.0</v>
      </c>
    </row>
    <row r="37">
      <c r="A37" s="1">
        <v>254.66</v>
      </c>
      <c r="B37" s="1">
        <v>15.0</v>
      </c>
      <c r="C37" s="1">
        <v>15.0</v>
      </c>
    </row>
    <row r="38">
      <c r="A38" s="1">
        <v>254.45</v>
      </c>
      <c r="B38" s="1">
        <v>20.0</v>
      </c>
      <c r="C38" s="1">
        <v>15.0</v>
      </c>
    </row>
    <row r="39">
      <c r="A39" s="1">
        <v>254.41</v>
      </c>
      <c r="B39" s="1">
        <v>25.0</v>
      </c>
      <c r="C39" s="1">
        <v>15.0</v>
      </c>
    </row>
    <row r="40">
      <c r="A40" s="1">
        <v>254.56</v>
      </c>
      <c r="B40" s="1">
        <v>30.0</v>
      </c>
      <c r="C40" s="1">
        <v>15.0</v>
      </c>
    </row>
    <row r="41">
      <c r="A41" s="1">
        <v>248.25</v>
      </c>
      <c r="B41" s="1">
        <v>35.0</v>
      </c>
      <c r="C41" s="1">
        <v>15.0</v>
      </c>
    </row>
    <row r="42">
      <c r="A42" s="1">
        <v>223.76</v>
      </c>
      <c r="B42" s="1">
        <v>38.0</v>
      </c>
      <c r="C42" s="1">
        <v>15.0</v>
      </c>
    </row>
    <row r="43">
      <c r="A43" s="9">
        <v>231.3</v>
      </c>
      <c r="B43" s="1">
        <v>0.0</v>
      </c>
      <c r="C43" s="1">
        <v>20.0</v>
      </c>
    </row>
    <row r="44">
      <c r="A44" s="1">
        <v>253.35</v>
      </c>
      <c r="B44" s="1">
        <v>5.0</v>
      </c>
      <c r="C44" s="1">
        <v>20.0</v>
      </c>
    </row>
    <row r="45">
      <c r="A45" s="1">
        <v>254.12</v>
      </c>
      <c r="B45" s="1">
        <v>10.0</v>
      </c>
      <c r="C45" s="1">
        <v>20.0</v>
      </c>
    </row>
    <row r="46">
      <c r="A46" s="1">
        <v>253.66</v>
      </c>
      <c r="B46" s="1">
        <v>15.0</v>
      </c>
      <c r="C46" s="1">
        <v>20.0</v>
      </c>
    </row>
    <row r="47">
      <c r="A47" s="1">
        <v>252.95</v>
      </c>
      <c r="B47" s="1">
        <v>20.0</v>
      </c>
      <c r="C47" s="1">
        <v>20.0</v>
      </c>
    </row>
    <row r="48">
      <c r="A48" s="9">
        <v>253.1</v>
      </c>
      <c r="B48" s="1">
        <v>25.0</v>
      </c>
      <c r="C48" s="1">
        <v>20.0</v>
      </c>
    </row>
    <row r="49">
      <c r="A49" s="1">
        <v>252.97</v>
      </c>
      <c r="B49" s="1">
        <v>30.0</v>
      </c>
      <c r="C49" s="1">
        <v>20.0</v>
      </c>
    </row>
    <row r="50">
      <c r="A50" s="1">
        <v>247.96</v>
      </c>
      <c r="B50" s="1">
        <v>35.0</v>
      </c>
      <c r="C50" s="1">
        <v>20.0</v>
      </c>
    </row>
    <row r="51">
      <c r="A51" s="1">
        <v>237.11</v>
      </c>
      <c r="B51" s="1">
        <v>38.0</v>
      </c>
      <c r="C51" s="1">
        <v>20.0</v>
      </c>
    </row>
    <row r="52">
      <c r="A52" s="1">
        <v>226.78</v>
      </c>
      <c r="B52" s="1">
        <v>0.0</v>
      </c>
      <c r="C52" s="1">
        <v>25.0</v>
      </c>
    </row>
    <row r="53">
      <c r="A53" s="1">
        <v>252.66</v>
      </c>
      <c r="B53" s="1">
        <v>5.0</v>
      </c>
      <c r="C53" s="1">
        <v>25.0</v>
      </c>
    </row>
    <row r="54">
      <c r="A54" s="1">
        <v>253.68</v>
      </c>
      <c r="B54" s="1">
        <v>10.0</v>
      </c>
      <c r="C54" s="1">
        <v>25.0</v>
      </c>
    </row>
    <row r="55">
      <c r="A55" s="1">
        <v>253.35</v>
      </c>
      <c r="B55" s="1">
        <v>15.0</v>
      </c>
      <c r="C55" s="1">
        <v>25.0</v>
      </c>
    </row>
    <row r="56">
      <c r="A56" s="1">
        <v>253.16</v>
      </c>
      <c r="B56" s="1">
        <v>20.0</v>
      </c>
      <c r="C56" s="1">
        <v>25.0</v>
      </c>
    </row>
    <row r="57">
      <c r="A57" s="9">
        <v>253.2</v>
      </c>
      <c r="B57" s="1">
        <v>25.0</v>
      </c>
      <c r="C57" s="1">
        <v>25.0</v>
      </c>
    </row>
    <row r="58">
      <c r="A58" s="1">
        <v>253.17</v>
      </c>
      <c r="B58" s="1">
        <v>30.0</v>
      </c>
      <c r="C58" s="1">
        <v>25.0</v>
      </c>
    </row>
    <row r="59">
      <c r="A59" s="1">
        <v>247.36</v>
      </c>
      <c r="B59" s="1">
        <v>35.0</v>
      </c>
      <c r="C59" s="1">
        <v>25.0</v>
      </c>
    </row>
    <row r="60">
      <c r="A60" s="1">
        <v>221.14</v>
      </c>
      <c r="B60" s="1">
        <v>38.0</v>
      </c>
      <c r="C60" s="1">
        <v>25.0</v>
      </c>
    </row>
    <row r="61">
      <c r="A61" s="1">
        <v>232.4</v>
      </c>
      <c r="B61" s="1">
        <v>0.0</v>
      </c>
      <c r="C61" s="1">
        <v>30.0</v>
      </c>
      <c r="D61" s="1" t="s">
        <v>20</v>
      </c>
    </row>
    <row r="62">
      <c r="A62" s="1">
        <v>253.5</v>
      </c>
      <c r="B62" s="1">
        <v>5.0</v>
      </c>
      <c r="C62" s="1">
        <v>30.0</v>
      </c>
    </row>
    <row r="63">
      <c r="A63" s="7">
        <v>254.0</v>
      </c>
      <c r="B63" s="1">
        <v>10.0</v>
      </c>
      <c r="C63" s="1">
        <v>30.0</v>
      </c>
    </row>
    <row r="64">
      <c r="A64" s="1">
        <v>253.6</v>
      </c>
      <c r="B64" s="1">
        <v>15.0</v>
      </c>
      <c r="C64" s="1">
        <v>30.0</v>
      </c>
    </row>
    <row r="65">
      <c r="A65" s="1">
        <v>253.5</v>
      </c>
      <c r="B65" s="1">
        <v>20.0</v>
      </c>
      <c r="C65" s="1">
        <v>30.0</v>
      </c>
    </row>
    <row r="66">
      <c r="A66" s="1">
        <v>253.4</v>
      </c>
      <c r="B66" s="1">
        <v>25.0</v>
      </c>
      <c r="C66" s="1">
        <v>30.0</v>
      </c>
    </row>
    <row r="67">
      <c r="A67" s="7">
        <v>253.0</v>
      </c>
      <c r="B67" s="1">
        <v>30.0</v>
      </c>
      <c r="C67" s="1">
        <v>30.0</v>
      </c>
    </row>
    <row r="68">
      <c r="A68" s="1">
        <v>247.9</v>
      </c>
      <c r="B68" s="1">
        <v>35.0</v>
      </c>
      <c r="C68" s="1">
        <v>30.0</v>
      </c>
    </row>
    <row r="69">
      <c r="A69" s="1">
        <v>226.4</v>
      </c>
      <c r="B69" s="1">
        <v>38.0</v>
      </c>
      <c r="C69" s="1">
        <v>30.0</v>
      </c>
    </row>
    <row r="70">
      <c r="A70" s="1">
        <v>226.3</v>
      </c>
      <c r="B70" s="1">
        <v>0.0</v>
      </c>
      <c r="C70" s="1">
        <v>35.0</v>
      </c>
    </row>
    <row r="71">
      <c r="A71" s="1">
        <v>250.8</v>
      </c>
      <c r="B71" s="1">
        <v>5.0</v>
      </c>
      <c r="C71" s="1">
        <v>35.0</v>
      </c>
    </row>
    <row r="72">
      <c r="A72" s="1">
        <v>252.5</v>
      </c>
      <c r="B72" s="1">
        <v>10.0</v>
      </c>
      <c r="C72" s="1">
        <v>35.0</v>
      </c>
    </row>
    <row r="73">
      <c r="A73" s="1">
        <v>251.9</v>
      </c>
      <c r="B73" s="1">
        <v>15.0</v>
      </c>
      <c r="C73" s="1">
        <v>35.0</v>
      </c>
    </row>
    <row r="74">
      <c r="A74" s="1">
        <v>252.8</v>
      </c>
      <c r="B74" s="1">
        <v>20.0</v>
      </c>
      <c r="C74" s="1">
        <v>35.0</v>
      </c>
    </row>
    <row r="75">
      <c r="A75" s="1">
        <v>252.8</v>
      </c>
      <c r="B75" s="1">
        <v>25.0</v>
      </c>
      <c r="C75" s="1">
        <v>35.0</v>
      </c>
    </row>
    <row r="76">
      <c r="A76" s="1">
        <v>252.2</v>
      </c>
      <c r="B76" s="1">
        <v>30.0</v>
      </c>
      <c r="C76" s="1">
        <v>35.0</v>
      </c>
    </row>
    <row r="77">
      <c r="A77" s="1">
        <v>247.4</v>
      </c>
      <c r="B77" s="1">
        <v>35.0</v>
      </c>
      <c r="C77" s="1">
        <v>35.0</v>
      </c>
    </row>
    <row r="78">
      <c r="A78" s="1">
        <v>226.2</v>
      </c>
      <c r="B78" s="1">
        <v>38.0</v>
      </c>
      <c r="C78" s="1">
        <v>35.0</v>
      </c>
    </row>
    <row r="79">
      <c r="A79" s="1">
        <v>192.3</v>
      </c>
      <c r="B79" s="1">
        <v>0.0</v>
      </c>
      <c r="C79" s="1">
        <v>40.0</v>
      </c>
    </row>
    <row r="80">
      <c r="A80" s="1">
        <v>221.7</v>
      </c>
      <c r="B80" s="1">
        <v>5.0</v>
      </c>
      <c r="C80" s="1">
        <v>40.0</v>
      </c>
    </row>
    <row r="81">
      <c r="A81" s="1">
        <v>226.1</v>
      </c>
      <c r="B81" s="1">
        <v>10.0</v>
      </c>
      <c r="C81" s="1">
        <v>40.0</v>
      </c>
    </row>
    <row r="82">
      <c r="A82" s="1">
        <v>222.2</v>
      </c>
      <c r="B82" s="1">
        <v>15.0</v>
      </c>
      <c r="C82" s="1">
        <v>40.0</v>
      </c>
    </row>
    <row r="83">
      <c r="A83" s="1">
        <v>222.1</v>
      </c>
      <c r="B83" s="1">
        <v>20.0</v>
      </c>
      <c r="C83" s="1">
        <v>40.0</v>
      </c>
    </row>
    <row r="84">
      <c r="A84" s="7">
        <v>223.0</v>
      </c>
      <c r="B84" s="1">
        <v>25.0</v>
      </c>
      <c r="C84" s="1">
        <v>40.0</v>
      </c>
    </row>
    <row r="85">
      <c r="A85" s="1">
        <v>221.3</v>
      </c>
      <c r="B85" s="1">
        <v>30.0</v>
      </c>
      <c r="C85" s="1">
        <v>40.0</v>
      </c>
    </row>
    <row r="86">
      <c r="A86" s="7">
        <v>218.0</v>
      </c>
      <c r="B86" s="1">
        <v>35.0</v>
      </c>
      <c r="C86" s="1">
        <v>40.0</v>
      </c>
    </row>
    <row r="87">
      <c r="A87" s="1">
        <v>197.1</v>
      </c>
      <c r="B87" s="1">
        <v>38.0</v>
      </c>
      <c r="C87" s="1">
        <v>40.0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2</v>
      </c>
      <c r="B3" s="1" t="s">
        <v>4</v>
      </c>
    </row>
    <row r="4">
      <c r="A4" s="2">
        <v>2.008</v>
      </c>
      <c r="B4" s="1">
        <v>421.1</v>
      </c>
      <c r="D4" s="4" t="str">
        <f t="shared" ref="D4:D124" si="1">CONCATENATE(TEXT(A4,"0.000"), " &amp; " , TEXT(B4, "0.0"), " \\ ")</f>
        <v>2,008 &amp; 421,1 \\ </v>
      </c>
    </row>
    <row r="5">
      <c r="A5" s="1">
        <v>1.897</v>
      </c>
      <c r="B5" s="1">
        <v>408.6</v>
      </c>
      <c r="D5" s="4" t="str">
        <f t="shared" si="1"/>
        <v>1,897 &amp; 408,6 \\ </v>
      </c>
    </row>
    <row r="6">
      <c r="A6" s="1">
        <v>1.798</v>
      </c>
      <c r="B6" s="1">
        <v>397.4</v>
      </c>
      <c r="D6" s="4" t="str">
        <f t="shared" si="1"/>
        <v>1,798 &amp; 397,4 \\ </v>
      </c>
    </row>
    <row r="7">
      <c r="A7" s="1">
        <v>1.692</v>
      </c>
      <c r="B7" s="1">
        <v>382.3</v>
      </c>
      <c r="D7" s="4" t="str">
        <f t="shared" si="1"/>
        <v>1,692 &amp; 382,3 \\ </v>
      </c>
    </row>
    <row r="8">
      <c r="A8" s="1">
        <v>1.595</v>
      </c>
      <c r="B8" s="1">
        <v>366.1</v>
      </c>
      <c r="D8" s="4" t="str">
        <f t="shared" si="1"/>
        <v>1,595 &amp; 366,1 \\ </v>
      </c>
    </row>
    <row r="9">
      <c r="A9" s="6">
        <v>1.5</v>
      </c>
      <c r="B9" s="1">
        <v>349.6</v>
      </c>
      <c r="D9" s="4" t="str">
        <f t="shared" si="1"/>
        <v>1,500 &amp; 349,6 \\ </v>
      </c>
    </row>
    <row r="10">
      <c r="A10" s="6">
        <v>1.4</v>
      </c>
      <c r="B10" s="1">
        <v>331.8</v>
      </c>
      <c r="D10" s="4" t="str">
        <f t="shared" si="1"/>
        <v>1,400 &amp; 331,8 \\ </v>
      </c>
    </row>
    <row r="11">
      <c r="A11" s="1">
        <v>1.299</v>
      </c>
      <c r="B11" s="1">
        <v>310.9</v>
      </c>
      <c r="D11" s="4" t="str">
        <f t="shared" si="1"/>
        <v>1,299 &amp; 310,9 \\ </v>
      </c>
    </row>
    <row r="12">
      <c r="A12" s="1">
        <v>1.208</v>
      </c>
      <c r="B12" s="1">
        <v>293.5</v>
      </c>
      <c r="D12" s="4" t="str">
        <f t="shared" si="1"/>
        <v>1,208 &amp; 293,5 \\ </v>
      </c>
    </row>
    <row r="13">
      <c r="A13" s="1">
        <v>1.096</v>
      </c>
      <c r="B13" s="7">
        <v>270.0</v>
      </c>
      <c r="D13" s="4" t="str">
        <f t="shared" si="1"/>
        <v>1,096 &amp; 270,0 \\ </v>
      </c>
    </row>
    <row r="14">
      <c r="A14" s="1">
        <v>0.994</v>
      </c>
      <c r="B14" s="7">
        <v>247.0</v>
      </c>
      <c r="D14" s="4" t="str">
        <f t="shared" si="1"/>
        <v>0,994 &amp; 247,0 \\ </v>
      </c>
    </row>
    <row r="15">
      <c r="A15" s="1">
        <v>0.898</v>
      </c>
      <c r="B15" s="1">
        <v>228.6</v>
      </c>
      <c r="D15" s="4" t="str">
        <f t="shared" si="1"/>
        <v>0,898 &amp; 228,6 \\ </v>
      </c>
    </row>
    <row r="16">
      <c r="A16" s="6">
        <v>0.8</v>
      </c>
      <c r="B16" s="1">
        <v>206.9</v>
      </c>
      <c r="D16" s="4" t="str">
        <f t="shared" si="1"/>
        <v>0,800 &amp; 206,9 \\ </v>
      </c>
    </row>
    <row r="17">
      <c r="A17" s="1">
        <v>0.704</v>
      </c>
      <c r="B17" s="1">
        <v>185.5</v>
      </c>
      <c r="D17" s="4" t="str">
        <f t="shared" si="1"/>
        <v>0,704 &amp; 185,5 \\ </v>
      </c>
    </row>
    <row r="18">
      <c r="A18" s="1">
        <v>0.613</v>
      </c>
      <c r="B18" s="1">
        <v>163.2</v>
      </c>
      <c r="D18" s="4" t="str">
        <f t="shared" si="1"/>
        <v>0,613 &amp; 163,2 \\ </v>
      </c>
    </row>
    <row r="19">
      <c r="A19" s="1">
        <v>0.498</v>
      </c>
      <c r="B19" s="1">
        <v>134.7</v>
      </c>
      <c r="D19" s="4" t="str">
        <f t="shared" si="1"/>
        <v>0,498 &amp; 134,7 \\ </v>
      </c>
    </row>
    <row r="20">
      <c r="A20" s="1">
        <v>0.401</v>
      </c>
      <c r="B20" s="1">
        <v>109.8</v>
      </c>
      <c r="D20" s="4" t="str">
        <f t="shared" si="1"/>
        <v>0,401 &amp; 109,8 \\ </v>
      </c>
    </row>
    <row r="21">
      <c r="A21" s="1">
        <v>0.315</v>
      </c>
      <c r="B21" s="1">
        <v>86.8</v>
      </c>
      <c r="D21" s="4" t="str">
        <f t="shared" si="1"/>
        <v>0,315 &amp; 86,8 \\ </v>
      </c>
    </row>
    <row r="22">
      <c r="A22" s="1">
        <v>0.204</v>
      </c>
      <c r="B22" s="1">
        <v>60.7</v>
      </c>
      <c r="D22" s="4" t="str">
        <f t="shared" si="1"/>
        <v>0,204 &amp; 60,7 \\ </v>
      </c>
    </row>
    <row r="23">
      <c r="A23" s="1">
        <v>0.106</v>
      </c>
      <c r="B23" s="1">
        <v>36.4</v>
      </c>
      <c r="D23" s="4" t="str">
        <f t="shared" si="1"/>
        <v>0,106 &amp; 36,4 \\ </v>
      </c>
    </row>
    <row r="24">
      <c r="A24" s="1">
        <v>0.0</v>
      </c>
      <c r="B24" s="1">
        <v>9.4</v>
      </c>
      <c r="D24" s="4" t="str">
        <f t="shared" si="1"/>
        <v>0,000 &amp; 9,4 \\ </v>
      </c>
    </row>
    <row r="25">
      <c r="A25" s="1">
        <v>-0.102</v>
      </c>
      <c r="B25" s="1">
        <v>-16.9</v>
      </c>
      <c r="D25" s="4" t="str">
        <f t="shared" si="1"/>
        <v>-0,102 &amp; -16,9 \\ </v>
      </c>
    </row>
    <row r="26">
      <c r="A26" s="1">
        <v>-0.205</v>
      </c>
      <c r="B26" s="1">
        <v>-41.4</v>
      </c>
      <c r="D26" s="4" t="str">
        <f t="shared" si="1"/>
        <v>-0,205 &amp; -41,4 \\ </v>
      </c>
    </row>
    <row r="27">
      <c r="A27" s="1">
        <v>-0.305</v>
      </c>
      <c r="B27" s="1">
        <v>-67.7</v>
      </c>
      <c r="D27" s="4" t="str">
        <f t="shared" si="1"/>
        <v>-0,305 &amp; -67,7 \\ </v>
      </c>
    </row>
    <row r="28">
      <c r="A28" s="6">
        <v>-0.4</v>
      </c>
      <c r="B28" s="1">
        <v>-91.5</v>
      </c>
      <c r="D28" s="4" t="str">
        <f t="shared" si="1"/>
        <v>-0,400 &amp; -91,5 \\ </v>
      </c>
    </row>
    <row r="29">
      <c r="A29" s="1">
        <v>-0.506</v>
      </c>
      <c r="B29" s="7">
        <v>-116.0</v>
      </c>
      <c r="D29" s="4" t="str">
        <f t="shared" si="1"/>
        <v>-0,506 &amp; -116,0 \\ </v>
      </c>
    </row>
    <row r="30">
      <c r="A30" s="1">
        <v>-0.608</v>
      </c>
      <c r="B30" s="1">
        <v>-142.8</v>
      </c>
      <c r="D30" s="4" t="str">
        <f t="shared" si="1"/>
        <v>-0,608 &amp; -142,8 \\ </v>
      </c>
    </row>
    <row r="31">
      <c r="A31" s="1">
        <v>-0.699</v>
      </c>
      <c r="B31" s="1">
        <v>-163.6</v>
      </c>
      <c r="D31" s="4" t="str">
        <f t="shared" si="1"/>
        <v>-0,699 &amp; -163,6 \\ </v>
      </c>
    </row>
    <row r="32">
      <c r="A32" s="6">
        <v>-0.81</v>
      </c>
      <c r="B32" s="1">
        <v>-189.4</v>
      </c>
      <c r="D32" s="4" t="str">
        <f t="shared" si="1"/>
        <v>-0,810 &amp; -189,4 \\ </v>
      </c>
    </row>
    <row r="33">
      <c r="A33" s="6">
        <v>-0.9</v>
      </c>
      <c r="B33" s="1">
        <v>-209.2</v>
      </c>
      <c r="D33" s="4" t="str">
        <f t="shared" si="1"/>
        <v>-0,900 &amp; -209,2 \\ </v>
      </c>
    </row>
    <row r="34">
      <c r="A34" s="1">
        <v>-1.007</v>
      </c>
      <c r="B34" s="1">
        <v>-232.9</v>
      </c>
      <c r="D34" s="4" t="str">
        <f t="shared" si="1"/>
        <v>-1,007 &amp; -232,9 \\ </v>
      </c>
    </row>
    <row r="35">
      <c r="A35" s="1">
        <v>-1.097</v>
      </c>
      <c r="B35" s="1">
        <v>-252.1</v>
      </c>
      <c r="D35" s="4" t="str">
        <f t="shared" si="1"/>
        <v>-1,097 &amp; -252,1 \\ </v>
      </c>
    </row>
    <row r="36">
      <c r="A36" s="1">
        <v>-1.214</v>
      </c>
      <c r="B36" s="1">
        <v>-277.2</v>
      </c>
      <c r="D36" s="4" t="str">
        <f t="shared" si="1"/>
        <v>-1,214 &amp; -277,2 \\ </v>
      </c>
    </row>
    <row r="37">
      <c r="A37" s="1">
        <v>-1.296</v>
      </c>
      <c r="B37" s="1">
        <v>-294.4</v>
      </c>
      <c r="D37" s="4" t="str">
        <f t="shared" si="1"/>
        <v>-1,296 &amp; -294,4 \\ </v>
      </c>
    </row>
    <row r="38">
      <c r="A38" s="1">
        <v>-1.404</v>
      </c>
      <c r="B38" s="1">
        <v>-317.6</v>
      </c>
      <c r="D38" s="4" t="str">
        <f t="shared" si="1"/>
        <v>-1,404 &amp; -317,6 \\ </v>
      </c>
    </row>
    <row r="39">
      <c r="A39" s="1">
        <v>-1.506</v>
      </c>
      <c r="B39" s="7">
        <v>-337.0</v>
      </c>
      <c r="D39" s="4" t="str">
        <f t="shared" si="1"/>
        <v>-1,506 &amp; -337,0 \\ </v>
      </c>
    </row>
    <row r="40">
      <c r="A40" s="1">
        <v>-1.598</v>
      </c>
      <c r="B40" s="1">
        <v>-354.4</v>
      </c>
      <c r="D40" s="4" t="str">
        <f t="shared" si="1"/>
        <v>-1,598 &amp; -354,4 \\ </v>
      </c>
    </row>
    <row r="41">
      <c r="A41" s="1">
        <v>-1.696</v>
      </c>
      <c r="B41" s="1">
        <v>-372.6</v>
      </c>
      <c r="D41" s="4" t="str">
        <f t="shared" si="1"/>
        <v>-1,696 &amp; -372,6 \\ </v>
      </c>
    </row>
    <row r="42">
      <c r="A42" s="1">
        <v>-1.794</v>
      </c>
      <c r="B42" s="1">
        <v>-388.6</v>
      </c>
      <c r="D42" s="4" t="str">
        <f t="shared" si="1"/>
        <v>-1,794 &amp; -388,6 \\ </v>
      </c>
    </row>
    <row r="43">
      <c r="A43" s="1">
        <v>-1.899</v>
      </c>
      <c r="B43" s="1">
        <v>-405.1</v>
      </c>
      <c r="D43" s="4" t="str">
        <f t="shared" si="1"/>
        <v>-1,899 &amp; -405,1 \\ </v>
      </c>
    </row>
    <row r="44">
      <c r="A44" s="2">
        <v>-1.991</v>
      </c>
      <c r="B44" s="1">
        <v>-418.6</v>
      </c>
      <c r="D44" s="4" t="str">
        <f t="shared" si="1"/>
        <v>-1,991 &amp; -418,6 \\ </v>
      </c>
    </row>
    <row r="45">
      <c r="A45" s="1">
        <v>-1.902</v>
      </c>
      <c r="B45" s="1">
        <v>-409.7</v>
      </c>
      <c r="D45" s="4" t="str">
        <f t="shared" si="1"/>
        <v>-1,902 &amp; -409,7 \\ </v>
      </c>
    </row>
    <row r="46">
      <c r="A46" s="1">
        <v>-1.799</v>
      </c>
      <c r="B46" s="1">
        <v>-396.4</v>
      </c>
      <c r="D46" s="4" t="str">
        <f t="shared" si="1"/>
        <v>-1,799 &amp; -396,4 \\ </v>
      </c>
    </row>
    <row r="47">
      <c r="A47" s="1">
        <v>-1.694</v>
      </c>
      <c r="B47" s="1">
        <v>-382.2</v>
      </c>
      <c r="D47" s="4" t="str">
        <f t="shared" si="1"/>
        <v>-1,694 &amp; -382,2 \\ </v>
      </c>
    </row>
    <row r="48">
      <c r="A48" s="1">
        <v>-1.592</v>
      </c>
      <c r="B48" s="1">
        <v>-365.8</v>
      </c>
      <c r="D48" s="4" t="str">
        <f t="shared" si="1"/>
        <v>-1,592 &amp; -365,8 \\ </v>
      </c>
    </row>
    <row r="49">
      <c r="A49" s="1">
        <v>-1.502</v>
      </c>
      <c r="B49" s="1">
        <v>-350.3</v>
      </c>
      <c r="D49" s="4" t="str">
        <f t="shared" si="1"/>
        <v>-1,502 &amp; -350,3 \\ </v>
      </c>
    </row>
    <row r="50">
      <c r="A50" s="1">
        <v>-1.406</v>
      </c>
      <c r="B50" s="1">
        <v>-331.8</v>
      </c>
      <c r="D50" s="4" t="str">
        <f t="shared" si="1"/>
        <v>-1,406 &amp; -331,8 \\ </v>
      </c>
    </row>
    <row r="51">
      <c r="A51" s="1">
        <v>-1.297</v>
      </c>
      <c r="B51" s="7">
        <v>-311.0</v>
      </c>
      <c r="D51" s="4" t="str">
        <f t="shared" si="1"/>
        <v>-1,297 &amp; -311,0 \\ </v>
      </c>
    </row>
    <row r="52">
      <c r="A52" s="1">
        <v>-1.196</v>
      </c>
      <c r="B52" s="1">
        <v>-290.3</v>
      </c>
      <c r="D52" s="4" t="str">
        <f t="shared" si="1"/>
        <v>-1,196 &amp; -290,3 \\ </v>
      </c>
    </row>
    <row r="53">
      <c r="A53" s="6">
        <v>-1.1</v>
      </c>
      <c r="B53" s="1">
        <v>-270.1</v>
      </c>
      <c r="D53" s="4" t="str">
        <f t="shared" si="1"/>
        <v>-1,100 &amp; -270,1 \\ </v>
      </c>
    </row>
    <row r="54">
      <c r="A54" s="1">
        <v>-0.989</v>
      </c>
      <c r="B54" s="1">
        <v>-246.8</v>
      </c>
      <c r="D54" s="4" t="str">
        <f t="shared" si="1"/>
        <v>-0,989 &amp; -246,8 \\ </v>
      </c>
    </row>
    <row r="55">
      <c r="A55" s="1">
        <v>-0.898</v>
      </c>
      <c r="B55" s="7">
        <v>-227.0</v>
      </c>
      <c r="D55" s="4" t="str">
        <f t="shared" si="1"/>
        <v>-0,898 &amp; -227,0 \\ </v>
      </c>
    </row>
    <row r="56">
      <c r="A56" s="1">
        <v>-0.81</v>
      </c>
      <c r="B56" s="1">
        <v>-207.6</v>
      </c>
      <c r="D56" s="4" t="str">
        <f t="shared" si="1"/>
        <v>-0,810 &amp; -207,6 \\ </v>
      </c>
    </row>
    <row r="57">
      <c r="A57" s="1">
        <v>-0.703</v>
      </c>
      <c r="B57" s="7">
        <v>-183.0</v>
      </c>
      <c r="D57" s="4" t="str">
        <f t="shared" si="1"/>
        <v>-0,703 &amp; -183,0 \\ </v>
      </c>
    </row>
    <row r="58">
      <c r="A58" s="1">
        <v>-0.605</v>
      </c>
      <c r="B58" s="1">
        <v>-160.4</v>
      </c>
      <c r="D58" s="4" t="str">
        <f t="shared" si="1"/>
        <v>-0,605 &amp; -160,4 \\ </v>
      </c>
    </row>
    <row r="59">
      <c r="A59" s="1">
        <v>-0.507</v>
      </c>
      <c r="B59" s="1">
        <v>-136.6</v>
      </c>
      <c r="D59" s="4" t="str">
        <f t="shared" si="1"/>
        <v>-0,507 &amp; -136,6 \\ </v>
      </c>
    </row>
    <row r="60">
      <c r="A60" s="1">
        <v>-0.411</v>
      </c>
      <c r="B60" s="1">
        <v>-112.1</v>
      </c>
      <c r="D60" s="4" t="str">
        <f t="shared" si="1"/>
        <v>-0,411 &amp; -112,1 \\ </v>
      </c>
    </row>
    <row r="61">
      <c r="A61" s="1">
        <v>-0.307</v>
      </c>
      <c r="B61" s="1">
        <v>-86.1</v>
      </c>
      <c r="D61" s="4" t="str">
        <f t="shared" si="1"/>
        <v>-0,307 &amp; -86,1 \\ </v>
      </c>
    </row>
    <row r="62">
      <c r="A62" s="1">
        <v>-0.202</v>
      </c>
      <c r="B62" s="1">
        <v>-59.4</v>
      </c>
      <c r="D62" s="4" t="str">
        <f t="shared" si="1"/>
        <v>-0,202 &amp; -59,4 \\ </v>
      </c>
    </row>
    <row r="63">
      <c r="A63" s="1">
        <v>-0.101</v>
      </c>
      <c r="B63" s="1">
        <v>-34.4</v>
      </c>
      <c r="D63" s="4" t="str">
        <f t="shared" si="1"/>
        <v>-0,101 &amp; -34,4 \\ </v>
      </c>
    </row>
    <row r="64">
      <c r="A64" s="1">
        <v>0.0</v>
      </c>
      <c r="B64" s="1">
        <v>-8.9</v>
      </c>
      <c r="D64" s="4" t="str">
        <f t="shared" si="1"/>
        <v>0,000 &amp; -8,9 \\ </v>
      </c>
    </row>
    <row r="65">
      <c r="A65" s="1">
        <v>0.109</v>
      </c>
      <c r="B65" s="1">
        <v>19.6</v>
      </c>
      <c r="D65" s="4" t="str">
        <f t="shared" si="1"/>
        <v>0,109 &amp; 19,6 \\ </v>
      </c>
    </row>
    <row r="66">
      <c r="A66" s="1">
        <v>0.207</v>
      </c>
      <c r="B66" s="1">
        <v>44.6</v>
      </c>
      <c r="D66" s="4" t="str">
        <f t="shared" si="1"/>
        <v>0,207 &amp; 44,6 \\ </v>
      </c>
    </row>
    <row r="67">
      <c r="A67" s="1">
        <v>0.299</v>
      </c>
      <c r="B67" s="1">
        <v>65.5</v>
      </c>
      <c r="D67" s="4" t="str">
        <f t="shared" si="1"/>
        <v>0,299 &amp; 65,5 \\ </v>
      </c>
    </row>
    <row r="68">
      <c r="A68" s="1">
        <v>0.408</v>
      </c>
      <c r="B68" s="1">
        <v>92.6</v>
      </c>
      <c r="D68" s="4" t="str">
        <f t="shared" si="1"/>
        <v>0,408 &amp; 92,6 \\ </v>
      </c>
    </row>
    <row r="69">
      <c r="A69" s="1">
        <v>0.505</v>
      </c>
      <c r="B69" s="1">
        <v>116.5</v>
      </c>
      <c r="D69" s="4" t="str">
        <f t="shared" si="1"/>
        <v>0,505 &amp; 116,5 \\ </v>
      </c>
    </row>
    <row r="70">
      <c r="A70" s="1">
        <v>0.6</v>
      </c>
      <c r="B70" s="7">
        <v>140.0</v>
      </c>
      <c r="D70" s="4" t="str">
        <f t="shared" si="1"/>
        <v>0,600 &amp; 140,0 \\ </v>
      </c>
    </row>
    <row r="71">
      <c r="A71" s="1">
        <v>0.696</v>
      </c>
      <c r="B71" s="1">
        <v>163.8</v>
      </c>
      <c r="D71" s="4" t="str">
        <f t="shared" si="1"/>
        <v>0,696 &amp; 163,8 \\ </v>
      </c>
    </row>
    <row r="72">
      <c r="A72" s="1">
        <v>0.798</v>
      </c>
      <c r="B72" s="1">
        <v>187.7</v>
      </c>
      <c r="D72" s="4" t="str">
        <f t="shared" si="1"/>
        <v>0,798 &amp; 187,7 \\ </v>
      </c>
    </row>
    <row r="73">
      <c r="A73" s="1">
        <v>0.905</v>
      </c>
      <c r="B73" s="1">
        <v>211.3</v>
      </c>
      <c r="D73" s="4" t="str">
        <f t="shared" si="1"/>
        <v>0,905 &amp; 211,3 \\ </v>
      </c>
    </row>
    <row r="74">
      <c r="A74" s="1">
        <v>1.003</v>
      </c>
      <c r="B74" s="1">
        <v>232.8</v>
      </c>
      <c r="D74" s="4" t="str">
        <f t="shared" si="1"/>
        <v>1,003 &amp; 232,8 \\ </v>
      </c>
    </row>
    <row r="75">
      <c r="A75" s="1">
        <v>1.104</v>
      </c>
      <c r="B75" s="1">
        <v>255.6</v>
      </c>
      <c r="D75" s="4" t="str">
        <f t="shared" si="1"/>
        <v>1,104 &amp; 255,6 \\ </v>
      </c>
    </row>
    <row r="76">
      <c r="A76" s="1">
        <v>1.201</v>
      </c>
      <c r="B76" s="7">
        <v>276.0</v>
      </c>
      <c r="D76" s="4" t="str">
        <f t="shared" si="1"/>
        <v>1,201 &amp; 276,0 \\ </v>
      </c>
    </row>
    <row r="77">
      <c r="A77" s="1">
        <v>1.302</v>
      </c>
      <c r="B77" s="7">
        <v>298.0</v>
      </c>
      <c r="D77" s="4" t="str">
        <f t="shared" si="1"/>
        <v>1,302 &amp; 298,0 \\ </v>
      </c>
    </row>
    <row r="78">
      <c r="A78" s="1">
        <v>1.393</v>
      </c>
      <c r="B78" s="1">
        <v>315.3</v>
      </c>
      <c r="D78" s="4" t="str">
        <f t="shared" si="1"/>
        <v>1,393 &amp; 315,3 \\ </v>
      </c>
    </row>
    <row r="79">
      <c r="A79" s="1">
        <v>1.494</v>
      </c>
      <c r="B79" s="1">
        <v>335.6</v>
      </c>
      <c r="D79" s="4" t="str">
        <f t="shared" si="1"/>
        <v>1,494 &amp; 335,6 \\ </v>
      </c>
    </row>
    <row r="80">
      <c r="A80" s="6">
        <v>1.59</v>
      </c>
      <c r="B80" s="1">
        <v>353.6</v>
      </c>
      <c r="D80" s="4" t="str">
        <f t="shared" si="1"/>
        <v>1,590 &amp; 353,6 \\ </v>
      </c>
    </row>
    <row r="81">
      <c r="A81" s="1">
        <v>1.706</v>
      </c>
      <c r="B81" s="1">
        <v>374.5</v>
      </c>
      <c r="D81" s="4" t="str">
        <f t="shared" si="1"/>
        <v>1,706 &amp; 374,5 \\ </v>
      </c>
    </row>
    <row r="82">
      <c r="A82" s="1">
        <v>1.799</v>
      </c>
      <c r="B82" s="7">
        <v>390.0</v>
      </c>
      <c r="D82" s="4" t="str">
        <f t="shared" si="1"/>
        <v>1,799 &amp; 390,0 \\ </v>
      </c>
    </row>
    <row r="83">
      <c r="A83" s="1">
        <v>1.902</v>
      </c>
      <c r="B83" s="1">
        <v>406.1</v>
      </c>
      <c r="D83" s="4" t="str">
        <f t="shared" si="1"/>
        <v>1,902 &amp; 406,1 \\ </v>
      </c>
    </row>
    <row r="84">
      <c r="A84" s="2">
        <v>1.978</v>
      </c>
      <c r="B84" s="1">
        <v>417.2</v>
      </c>
      <c r="D84" s="4" t="str">
        <f t="shared" si="1"/>
        <v>1,978 &amp; 417,2 \\ </v>
      </c>
    </row>
    <row r="85">
      <c r="A85" s="1">
        <v>1.808</v>
      </c>
      <c r="B85" s="1">
        <v>397.1</v>
      </c>
      <c r="D85" s="4" t="str">
        <f t="shared" si="1"/>
        <v>1,808 &amp; 397,1 \\ </v>
      </c>
    </row>
    <row r="86">
      <c r="A86" s="1">
        <v>1.607</v>
      </c>
      <c r="B86" s="1">
        <v>368.5</v>
      </c>
      <c r="D86" s="4" t="str">
        <f t="shared" si="1"/>
        <v>1,607 &amp; 368,5 \\ </v>
      </c>
    </row>
    <row r="87">
      <c r="A87" s="1">
        <v>1.388</v>
      </c>
      <c r="B87" s="1">
        <v>329.2</v>
      </c>
      <c r="D87" s="4" t="str">
        <f t="shared" si="1"/>
        <v>1,388 &amp; 329,2 \\ </v>
      </c>
    </row>
    <row r="88">
      <c r="A88" s="1">
        <v>1.204</v>
      </c>
      <c r="B88" s="1">
        <v>291.6</v>
      </c>
      <c r="D88" s="4" t="str">
        <f t="shared" si="1"/>
        <v>1,204 &amp; 291,6 \\ </v>
      </c>
    </row>
    <row r="89">
      <c r="A89" s="1">
        <v>1.001</v>
      </c>
      <c r="B89" s="1">
        <v>249.7</v>
      </c>
      <c r="D89" s="4" t="str">
        <f t="shared" si="1"/>
        <v>1,001 &amp; 249,7 \\ </v>
      </c>
    </row>
    <row r="90">
      <c r="A90" s="1">
        <v>0.802</v>
      </c>
      <c r="B90" s="1">
        <v>206.3</v>
      </c>
      <c r="D90" s="4" t="str">
        <f t="shared" si="1"/>
        <v>0,802 &amp; 206,3 \\ </v>
      </c>
    </row>
    <row r="91">
      <c r="A91" s="1">
        <v>0.61</v>
      </c>
      <c r="B91" s="1">
        <v>161.8</v>
      </c>
      <c r="D91" s="4" t="str">
        <f t="shared" si="1"/>
        <v>0,610 &amp; 161,8 \\ </v>
      </c>
    </row>
    <row r="92">
      <c r="A92" s="1">
        <v>0.395</v>
      </c>
      <c r="B92" s="1">
        <v>108.1</v>
      </c>
      <c r="D92" s="4" t="str">
        <f t="shared" si="1"/>
        <v>0,395 &amp; 108,1 \\ </v>
      </c>
    </row>
    <row r="93">
      <c r="A93" s="1">
        <v>0.188</v>
      </c>
      <c r="B93" s="1">
        <v>56.2</v>
      </c>
      <c r="D93" s="4" t="str">
        <f t="shared" si="1"/>
        <v>0,188 &amp; 56,2 \\ </v>
      </c>
    </row>
    <row r="94">
      <c r="A94" s="1">
        <v>0.0</v>
      </c>
      <c r="B94" s="7">
        <v>9.0</v>
      </c>
      <c r="D94" s="4" t="str">
        <f t="shared" si="1"/>
        <v>0,000 &amp; 9,0 \\ </v>
      </c>
    </row>
    <row r="95">
      <c r="A95" s="1">
        <v>-0.202</v>
      </c>
      <c r="B95" s="1">
        <v>-43.9</v>
      </c>
      <c r="D95" s="4" t="str">
        <f t="shared" si="1"/>
        <v>-0,202 &amp; -43,9 \\ </v>
      </c>
    </row>
    <row r="96">
      <c r="A96" s="6">
        <v>-0.41</v>
      </c>
      <c r="B96" s="7">
        <v>-93.0</v>
      </c>
      <c r="D96" s="4" t="str">
        <f t="shared" si="1"/>
        <v>-0,410 &amp; -93,0 \\ </v>
      </c>
    </row>
    <row r="97">
      <c r="A97" s="1">
        <v>-0.592</v>
      </c>
      <c r="B97" s="1">
        <v>-137.4</v>
      </c>
      <c r="D97" s="4" t="str">
        <f t="shared" si="1"/>
        <v>-0,592 &amp; -137,4 \\ </v>
      </c>
    </row>
    <row r="98">
      <c r="A98" s="1">
        <v>-0.798</v>
      </c>
      <c r="B98" s="7">
        <v>-188.0</v>
      </c>
      <c r="D98" s="4" t="str">
        <f t="shared" si="1"/>
        <v>-0,798 &amp; -188,0 \\ </v>
      </c>
    </row>
    <row r="99">
      <c r="A99" s="1">
        <v>-1.004</v>
      </c>
      <c r="B99" s="7">
        <v>-233.0</v>
      </c>
      <c r="D99" s="4" t="str">
        <f t="shared" si="1"/>
        <v>-1,004 &amp; -233,0 \\ </v>
      </c>
    </row>
    <row r="100">
      <c r="A100" s="1">
        <v>-1.221</v>
      </c>
      <c r="B100" s="1">
        <v>-279.1</v>
      </c>
      <c r="D100" s="4" t="str">
        <f t="shared" si="1"/>
        <v>-1,221 &amp; -279,1 \\ </v>
      </c>
    </row>
    <row r="101">
      <c r="A101" s="1">
        <v>-1.399</v>
      </c>
      <c r="B101" s="1">
        <v>-316.0</v>
      </c>
      <c r="D101" s="4" t="str">
        <f t="shared" si="1"/>
        <v>-1,399 &amp; -316,0 \\ </v>
      </c>
    </row>
    <row r="102">
      <c r="A102" s="1">
        <v>-1.609</v>
      </c>
      <c r="B102" s="1">
        <v>-356.5</v>
      </c>
      <c r="D102" s="4" t="str">
        <f t="shared" si="1"/>
        <v>-1,609 &amp; -356,5 \\ </v>
      </c>
    </row>
    <row r="103">
      <c r="A103" s="1">
        <v>-1.801</v>
      </c>
      <c r="B103" s="1">
        <v>-389.7</v>
      </c>
      <c r="D103" s="4" t="str">
        <f t="shared" si="1"/>
        <v>-1,801 &amp; -389,7 \\ </v>
      </c>
    </row>
    <row r="104">
      <c r="A104" s="2">
        <v>-1.973</v>
      </c>
      <c r="B104" s="1">
        <v>-415.9</v>
      </c>
      <c r="D104" s="4" t="str">
        <f t="shared" si="1"/>
        <v>-1,973 &amp; -415,9 \\ </v>
      </c>
    </row>
    <row r="105">
      <c r="A105" s="1">
        <v>-1.799</v>
      </c>
      <c r="B105" s="1">
        <v>-395.9</v>
      </c>
      <c r="D105" s="4" t="str">
        <f t="shared" si="1"/>
        <v>-1,799 &amp; -395,9 \\ </v>
      </c>
    </row>
    <row r="106">
      <c r="A106" s="1">
        <v>-1.601</v>
      </c>
      <c r="B106" s="7">
        <v>-367.0</v>
      </c>
      <c r="D106" s="4" t="str">
        <f t="shared" si="1"/>
        <v>-1,601 &amp; -367,0 \\ </v>
      </c>
    </row>
    <row r="107">
      <c r="A107" s="1">
        <v>-1.404</v>
      </c>
      <c r="B107" s="1">
        <v>-331.8</v>
      </c>
      <c r="D107" s="4" t="str">
        <f t="shared" si="1"/>
        <v>-1,404 &amp; -331,8 \\ </v>
      </c>
    </row>
    <row r="108">
      <c r="A108" s="1">
        <v>-1.208</v>
      </c>
      <c r="B108" s="1">
        <v>-292.9</v>
      </c>
      <c r="D108" s="4" t="str">
        <f t="shared" si="1"/>
        <v>-1,208 &amp; -292,9 \\ </v>
      </c>
    </row>
    <row r="109">
      <c r="A109" s="1">
        <v>-0.994</v>
      </c>
      <c r="B109" s="1">
        <v>-247.8</v>
      </c>
      <c r="D109" s="4" t="str">
        <f t="shared" si="1"/>
        <v>-0,994 &amp; -247,8 \\ </v>
      </c>
    </row>
    <row r="110">
      <c r="A110" s="1">
        <v>-0.789</v>
      </c>
      <c r="B110" s="1">
        <v>-202.8</v>
      </c>
      <c r="D110" s="4" t="str">
        <f t="shared" si="1"/>
        <v>-0,789 &amp; -202,8 \\ </v>
      </c>
    </row>
    <row r="111">
      <c r="A111" s="1">
        <v>-0.606</v>
      </c>
      <c r="B111" s="1">
        <v>-160.7</v>
      </c>
      <c r="D111" s="4" t="str">
        <f t="shared" si="1"/>
        <v>-0,606 &amp; -160,7 \\ </v>
      </c>
    </row>
    <row r="112">
      <c r="A112" s="1">
        <v>-0.402</v>
      </c>
      <c r="B112" s="1">
        <v>-109.5</v>
      </c>
      <c r="D112" s="4" t="str">
        <f t="shared" si="1"/>
        <v>-0,402 &amp; -109,5 \\ </v>
      </c>
    </row>
    <row r="113">
      <c r="A113" s="1">
        <v>-0.202</v>
      </c>
      <c r="B113" s="1">
        <v>-59.3</v>
      </c>
      <c r="D113" s="4" t="str">
        <f t="shared" si="1"/>
        <v>-0,202 &amp; -59,3 \\ </v>
      </c>
    </row>
    <row r="114">
      <c r="A114" s="1">
        <v>0.0</v>
      </c>
      <c r="B114" s="1">
        <v>-8.8</v>
      </c>
      <c r="D114" s="4" t="str">
        <f t="shared" si="1"/>
        <v>0,000 &amp; -8,8 \\ </v>
      </c>
    </row>
    <row r="115">
      <c r="A115" s="1">
        <v>0.212</v>
      </c>
      <c r="B115" s="7">
        <v>45.0</v>
      </c>
      <c r="D115" s="4" t="str">
        <f t="shared" si="1"/>
        <v>0,212 &amp; 45,0 \\ </v>
      </c>
    </row>
    <row r="116">
      <c r="A116" s="1">
        <v>0.392</v>
      </c>
      <c r="B116" s="1">
        <v>88.3</v>
      </c>
      <c r="D116" s="4" t="str">
        <f t="shared" si="1"/>
        <v>0,392 &amp; 88,3 \\ </v>
      </c>
    </row>
    <row r="117">
      <c r="A117" s="1">
        <v>0.59</v>
      </c>
      <c r="B117" s="1">
        <v>137.4</v>
      </c>
      <c r="D117" s="4" t="str">
        <f t="shared" si="1"/>
        <v>0,590 &amp; 137,4 \\ </v>
      </c>
    </row>
    <row r="118">
      <c r="A118" s="1">
        <v>0.806</v>
      </c>
      <c r="B118" s="1">
        <v>191.6</v>
      </c>
      <c r="D118" s="4" t="str">
        <f t="shared" si="1"/>
        <v>0,806 &amp; 191,6 \\ </v>
      </c>
    </row>
    <row r="119">
      <c r="A119" s="1">
        <v>1.008</v>
      </c>
      <c r="B119" s="1">
        <v>233.7</v>
      </c>
      <c r="D119" s="4" t="str">
        <f t="shared" si="1"/>
        <v>1,008 &amp; 233,7 \\ </v>
      </c>
    </row>
    <row r="120">
      <c r="A120" s="1">
        <v>1.201</v>
      </c>
      <c r="B120" s="1">
        <v>275.4</v>
      </c>
      <c r="D120" s="4" t="str">
        <f t="shared" si="1"/>
        <v>1,201 &amp; 275,4 \\ </v>
      </c>
    </row>
    <row r="121">
      <c r="A121" s="1">
        <v>1.391</v>
      </c>
      <c r="B121" s="1">
        <v>317.6</v>
      </c>
      <c r="D121" s="4" t="str">
        <f t="shared" si="1"/>
        <v>1,391 &amp; 317,6 \\ </v>
      </c>
    </row>
    <row r="122">
      <c r="A122" s="1">
        <v>1.584</v>
      </c>
      <c r="B122" s="1">
        <v>352.7</v>
      </c>
      <c r="D122" s="4" t="str">
        <f t="shared" si="1"/>
        <v>1,584 &amp; 352,7 \\ </v>
      </c>
    </row>
    <row r="123">
      <c r="A123" s="1">
        <v>1.805</v>
      </c>
      <c r="B123" s="1">
        <v>390.9</v>
      </c>
      <c r="D123" s="4" t="str">
        <f t="shared" si="1"/>
        <v>1,805 &amp; 390,9 \\ </v>
      </c>
    </row>
    <row r="124">
      <c r="A124" s="2">
        <v>1.969</v>
      </c>
      <c r="B124" s="1">
        <v>415.7</v>
      </c>
      <c r="D124" s="4" t="str">
        <f t="shared" si="1"/>
        <v>1,969 &amp; 415,7 \\ 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</v>
      </c>
    </row>
    <row r="2">
      <c r="A2" s="1" t="s">
        <v>22</v>
      </c>
    </row>
    <row r="3">
      <c r="A3" s="1" t="s">
        <v>0</v>
      </c>
      <c r="B3" s="1" t="s">
        <v>23</v>
      </c>
      <c r="D3" s="1" t="s">
        <v>24</v>
      </c>
      <c r="K3" s="1" t="s">
        <v>0</v>
      </c>
      <c r="L3" s="1" t="s">
        <v>23</v>
      </c>
      <c r="N3" s="4" t="str">
        <f t="shared" ref="N3:N20" si="1">CONCATENATE(TEXT(K3, "0.000"), " &amp; ", TEXT(L3, "0.000"), " \\ ")</f>
        <v>I (mA) &amp; VH (mV) \\ </v>
      </c>
    </row>
    <row r="4">
      <c r="A4" s="1">
        <v>-8.004</v>
      </c>
      <c r="B4" s="1">
        <v>-0.054</v>
      </c>
      <c r="K4" s="1">
        <v>-8.004</v>
      </c>
      <c r="L4" s="1">
        <v>-0.054</v>
      </c>
      <c r="N4" s="4" t="str">
        <f t="shared" si="1"/>
        <v>-8,004 &amp; -0,054 \\ </v>
      </c>
    </row>
    <row r="5">
      <c r="A5" s="1">
        <v>-7.003</v>
      </c>
      <c r="B5" s="1">
        <v>-0.048</v>
      </c>
      <c r="K5" s="1">
        <v>-7.003</v>
      </c>
      <c r="L5" s="1">
        <v>-0.048</v>
      </c>
      <c r="N5" s="4" t="str">
        <f t="shared" si="1"/>
        <v>-7,003 &amp; -0,048 \\ </v>
      </c>
    </row>
    <row r="6">
      <c r="A6" s="1">
        <v>-6.004</v>
      </c>
      <c r="B6" s="1">
        <v>-0.042</v>
      </c>
      <c r="K6" s="1">
        <v>-6.004</v>
      </c>
      <c r="L6" s="1">
        <v>-0.042</v>
      </c>
      <c r="N6" s="4" t="str">
        <f t="shared" si="1"/>
        <v>-6,004 &amp; -0,042 \\ </v>
      </c>
    </row>
    <row r="7">
      <c r="A7" s="1">
        <v>-5.003</v>
      </c>
      <c r="B7" s="1">
        <v>-0.036</v>
      </c>
      <c r="K7" s="1">
        <v>-5.003</v>
      </c>
      <c r="L7" s="1">
        <v>-0.036</v>
      </c>
      <c r="N7" s="4" t="str">
        <f t="shared" si="1"/>
        <v>-5,003 &amp; -0,036 \\ </v>
      </c>
    </row>
    <row r="8">
      <c r="A8" s="1">
        <v>-4.008</v>
      </c>
      <c r="B8" s="1">
        <v>-0.029</v>
      </c>
      <c r="K8" s="1">
        <v>-4.008</v>
      </c>
      <c r="L8" s="1">
        <v>-0.029</v>
      </c>
      <c r="N8" s="4" t="str">
        <f t="shared" si="1"/>
        <v>-4,008 &amp; -0,029 \\ </v>
      </c>
    </row>
    <row r="9">
      <c r="A9" s="1">
        <v>-2.999</v>
      </c>
      <c r="B9" s="1">
        <v>-0.022</v>
      </c>
      <c r="K9" s="1">
        <v>-2.999</v>
      </c>
      <c r="L9" s="1">
        <v>-0.022</v>
      </c>
      <c r="N9" s="4" t="str">
        <f t="shared" si="1"/>
        <v>-2,999 &amp; -0,022 \\ </v>
      </c>
    </row>
    <row r="10">
      <c r="A10" s="1">
        <v>-1.999</v>
      </c>
      <c r="B10" s="1">
        <v>-0.016</v>
      </c>
      <c r="K10" s="1">
        <v>-1.999</v>
      </c>
      <c r="L10" s="1">
        <v>-0.016</v>
      </c>
      <c r="N10" s="4" t="str">
        <f t="shared" si="1"/>
        <v>-1,999 &amp; -0,016 \\ </v>
      </c>
    </row>
    <row r="11">
      <c r="A11" s="1">
        <v>-1.001</v>
      </c>
      <c r="B11" s="1">
        <v>-0.009</v>
      </c>
      <c r="K11" s="1">
        <v>-1.001</v>
      </c>
      <c r="L11" s="1">
        <v>-0.009</v>
      </c>
      <c r="N11" s="4" t="str">
        <f t="shared" si="1"/>
        <v>-1,001 &amp; -0,009 \\ </v>
      </c>
    </row>
    <row r="12">
      <c r="A12" s="1">
        <v>0.0</v>
      </c>
      <c r="B12" s="1">
        <v>-0.003</v>
      </c>
      <c r="K12" s="1">
        <v>0.0</v>
      </c>
      <c r="L12" s="1">
        <v>-0.003</v>
      </c>
      <c r="N12" s="4" t="str">
        <f t="shared" si="1"/>
        <v>0,000 &amp; -0,003 \\ </v>
      </c>
    </row>
    <row r="13">
      <c r="A13" s="1">
        <v>1.005</v>
      </c>
      <c r="B13" s="1">
        <v>0.002</v>
      </c>
      <c r="K13" s="1">
        <v>1.005</v>
      </c>
      <c r="L13" s="1">
        <v>0.002</v>
      </c>
      <c r="N13" s="4" t="str">
        <f t="shared" si="1"/>
        <v>1,005 &amp; 0,002 \\ </v>
      </c>
    </row>
    <row r="14">
      <c r="A14" s="1">
        <v>2.007</v>
      </c>
      <c r="B14" s="1">
        <v>0.008</v>
      </c>
      <c r="K14" s="1">
        <v>2.007</v>
      </c>
      <c r="L14" s="1">
        <v>0.008</v>
      </c>
      <c r="N14" s="4" t="str">
        <f t="shared" si="1"/>
        <v>2,007 &amp; 0,008 \\ </v>
      </c>
    </row>
    <row r="15">
      <c r="A15" s="1">
        <v>3.002</v>
      </c>
      <c r="B15" s="1">
        <v>0.014</v>
      </c>
      <c r="K15" s="1">
        <v>3.002</v>
      </c>
      <c r="L15" s="1">
        <v>0.014</v>
      </c>
      <c r="N15" s="4" t="str">
        <f t="shared" si="1"/>
        <v>3,002 &amp; 0,014 \\ </v>
      </c>
    </row>
    <row r="16">
      <c r="A16" s="1">
        <v>4.005</v>
      </c>
      <c r="B16" s="6">
        <v>0.02</v>
      </c>
      <c r="K16" s="1">
        <v>4.005</v>
      </c>
      <c r="L16" s="6">
        <v>0.02</v>
      </c>
      <c r="N16" s="4" t="str">
        <f t="shared" si="1"/>
        <v>4,005 &amp; 0,020 \\ </v>
      </c>
    </row>
    <row r="17">
      <c r="A17" s="1">
        <v>5.005</v>
      </c>
      <c r="B17" s="1">
        <v>0.026</v>
      </c>
      <c r="K17" s="1">
        <v>5.005</v>
      </c>
      <c r="L17" s="1">
        <v>0.026</v>
      </c>
      <c r="N17" s="4" t="str">
        <f t="shared" si="1"/>
        <v>5,005 &amp; 0,026 \\ </v>
      </c>
    </row>
    <row r="18">
      <c r="A18" s="1">
        <v>6.001</v>
      </c>
      <c r="B18" s="1">
        <v>0.032</v>
      </c>
      <c r="K18" s="1">
        <v>6.001</v>
      </c>
      <c r="L18" s="1">
        <v>0.032</v>
      </c>
      <c r="N18" s="4" t="str">
        <f t="shared" si="1"/>
        <v>6,001 &amp; 0,032 \\ </v>
      </c>
    </row>
    <row r="19">
      <c r="A19" s="1">
        <v>7.005</v>
      </c>
      <c r="B19" s="1">
        <v>0.037</v>
      </c>
      <c r="K19" s="1">
        <v>7.005</v>
      </c>
      <c r="L19" s="1">
        <v>0.037</v>
      </c>
      <c r="N19" s="4" t="str">
        <f t="shared" si="1"/>
        <v>7,005 &amp; 0,037 \\ </v>
      </c>
    </row>
    <row r="20">
      <c r="A20" s="1">
        <v>8.004</v>
      </c>
      <c r="B20" s="1">
        <v>0.044</v>
      </c>
      <c r="K20" s="1">
        <v>8.004</v>
      </c>
      <c r="L20" s="1">
        <v>0.044</v>
      </c>
      <c r="N20" s="4" t="str">
        <f t="shared" si="1"/>
        <v>8,004 &amp; 0,044 \\ </v>
      </c>
    </row>
    <row r="23">
      <c r="A23" s="1" t="s">
        <v>25</v>
      </c>
    </row>
    <row r="24">
      <c r="K24" s="1" t="s">
        <v>26</v>
      </c>
      <c r="M24" s="1" t="s">
        <v>27</v>
      </c>
      <c r="O24" s="1" t="s">
        <v>26</v>
      </c>
      <c r="Q24" s="1" t="s">
        <v>27</v>
      </c>
    </row>
    <row r="25">
      <c r="A25" s="1" t="s">
        <v>26</v>
      </c>
      <c r="C25" s="1" t="s">
        <v>27</v>
      </c>
      <c r="E25" s="1" t="s">
        <v>26</v>
      </c>
      <c r="G25" s="1" t="s">
        <v>27</v>
      </c>
      <c r="K25" s="1">
        <v>0.205</v>
      </c>
      <c r="O25" s="1">
        <v>-0.205</v>
      </c>
    </row>
    <row r="26">
      <c r="A26" s="1">
        <v>0.205</v>
      </c>
      <c r="E26" s="1">
        <v>-0.205</v>
      </c>
      <c r="K26" s="1" t="s">
        <v>0</v>
      </c>
      <c r="L26" s="1" t="s">
        <v>23</v>
      </c>
      <c r="O26" s="1" t="s">
        <v>0</v>
      </c>
      <c r="P26" s="1" t="s">
        <v>23</v>
      </c>
    </row>
    <row r="27">
      <c r="A27" s="1" t="s">
        <v>0</v>
      </c>
      <c r="B27" s="1" t="s">
        <v>23</v>
      </c>
      <c r="E27" s="1" t="s">
        <v>0</v>
      </c>
      <c r="F27" s="1" t="s">
        <v>23</v>
      </c>
      <c r="K27" s="1">
        <v>-8.001</v>
      </c>
      <c r="L27" s="1">
        <v>2.587</v>
      </c>
      <c r="N27" s="4" t="str">
        <f t="shared" ref="N27:N43" si="2">CONCATENATE(TEXT(K27, "0.000"), " &amp; ", TEXT(L27, "0.000"), " \\ ")</f>
        <v>-8,001 &amp; 2,587 \\ </v>
      </c>
      <c r="O27" s="1">
        <v>-7.999</v>
      </c>
      <c r="P27" s="1">
        <v>-2.329</v>
      </c>
      <c r="Q27" s="4" t="str">
        <f t="shared" ref="Q27:Q43" si="3">CONCATENATE(TEXT(O27, "0.000"), " &amp; ", TEXT(P27, "0.000"), " \\ ")</f>
        <v>-7,999 &amp; -2,329 \\ </v>
      </c>
    </row>
    <row r="28">
      <c r="A28" s="1">
        <v>-8.001</v>
      </c>
      <c r="B28" s="1">
        <v>2.587</v>
      </c>
      <c r="E28" s="1">
        <v>-7.999</v>
      </c>
      <c r="F28" s="1">
        <v>-2.329</v>
      </c>
      <c r="K28" s="6">
        <v>-7.0</v>
      </c>
      <c r="L28" s="1">
        <v>2.261</v>
      </c>
      <c r="N28" s="4" t="str">
        <f t="shared" si="2"/>
        <v>-7,000 &amp; 2,261 \\ </v>
      </c>
      <c r="O28" s="1">
        <v>-7.003</v>
      </c>
      <c r="P28" s="6">
        <v>-2.04</v>
      </c>
      <c r="Q28" s="4" t="str">
        <f t="shared" si="3"/>
        <v>-7,003 &amp; -2,040 \\ </v>
      </c>
    </row>
    <row r="29">
      <c r="A29" s="6">
        <v>-7.0</v>
      </c>
      <c r="B29" s="1">
        <v>2.261</v>
      </c>
      <c r="E29" s="1">
        <v>-7.003</v>
      </c>
      <c r="F29" s="6">
        <v>-2.04</v>
      </c>
      <c r="K29" s="6">
        <v>-6.0</v>
      </c>
      <c r="L29" s="1">
        <v>1.937</v>
      </c>
      <c r="N29" s="4" t="str">
        <f t="shared" si="2"/>
        <v>-6,000 &amp; 1,937 \\ </v>
      </c>
      <c r="O29" s="1">
        <v>-6.008</v>
      </c>
      <c r="P29" s="1">
        <v>-1.752</v>
      </c>
      <c r="Q29" s="4" t="str">
        <f t="shared" si="3"/>
        <v>-6,008 &amp; -1,752 \\ </v>
      </c>
    </row>
    <row r="30">
      <c r="A30" s="6">
        <v>-6.0</v>
      </c>
      <c r="B30" s="1">
        <v>1.937</v>
      </c>
      <c r="E30" s="1">
        <v>-6.008</v>
      </c>
      <c r="F30" s="1">
        <v>-1.752</v>
      </c>
      <c r="K30" s="6">
        <v>-5.0</v>
      </c>
      <c r="L30" s="1">
        <v>1.612</v>
      </c>
      <c r="N30" s="4" t="str">
        <f t="shared" si="2"/>
        <v>-5,000 &amp; 1,612 \\ </v>
      </c>
      <c r="O30" s="1">
        <v>-5.003</v>
      </c>
      <c r="P30" s="6">
        <v>-1.46</v>
      </c>
      <c r="Q30" s="4" t="str">
        <f t="shared" si="3"/>
        <v>-5,003 &amp; -1,460 \\ </v>
      </c>
    </row>
    <row r="31">
      <c r="A31" s="6">
        <v>-5.0</v>
      </c>
      <c r="B31" s="1">
        <v>1.612</v>
      </c>
      <c r="E31" s="1">
        <v>-5.003</v>
      </c>
      <c r="F31" s="6">
        <v>-1.46</v>
      </c>
      <c r="K31" s="1">
        <v>-4.003</v>
      </c>
      <c r="L31" s="1">
        <v>1.289</v>
      </c>
      <c r="N31" s="4" t="str">
        <f t="shared" si="2"/>
        <v>-4,003 &amp; 1,289 \\ </v>
      </c>
      <c r="O31" s="1">
        <v>-3.999</v>
      </c>
      <c r="P31" s="1">
        <v>-1.169</v>
      </c>
      <c r="Q31" s="4" t="str">
        <f t="shared" si="3"/>
        <v>-3,999 &amp; -1,169 \\ </v>
      </c>
    </row>
    <row r="32">
      <c r="A32" s="1">
        <v>-4.003</v>
      </c>
      <c r="B32" s="1">
        <v>1.289</v>
      </c>
      <c r="E32" s="1">
        <v>-3.999</v>
      </c>
      <c r="F32" s="1">
        <v>-1.169</v>
      </c>
      <c r="K32" s="1">
        <v>-3.001</v>
      </c>
      <c r="L32" s="1">
        <v>0.964</v>
      </c>
      <c r="N32" s="4" t="str">
        <f t="shared" si="2"/>
        <v>-3,001 &amp; 0,964 \\ </v>
      </c>
      <c r="O32" s="1">
        <v>-3.007</v>
      </c>
      <c r="P32" s="1">
        <v>-0.882</v>
      </c>
      <c r="Q32" s="4" t="str">
        <f t="shared" si="3"/>
        <v>-3,007 &amp; -0,882 \\ </v>
      </c>
    </row>
    <row r="33">
      <c r="A33" s="1">
        <v>-3.001</v>
      </c>
      <c r="B33" s="1">
        <v>0.964</v>
      </c>
      <c r="E33" s="1">
        <v>-3.007</v>
      </c>
      <c r="F33" s="1">
        <v>-0.882</v>
      </c>
      <c r="K33" s="1">
        <v>-2.005</v>
      </c>
      <c r="L33" s="1">
        <v>0.641</v>
      </c>
      <c r="N33" s="4" t="str">
        <f t="shared" si="2"/>
        <v>-2,005 &amp; 0,641 \\ </v>
      </c>
      <c r="O33" s="6">
        <v>-2.0</v>
      </c>
      <c r="P33" s="6">
        <v>-0.59</v>
      </c>
      <c r="Q33" s="4" t="str">
        <f t="shared" si="3"/>
        <v>-2,000 &amp; -0,590 \\ </v>
      </c>
    </row>
    <row r="34">
      <c r="A34" s="1">
        <v>-2.005</v>
      </c>
      <c r="B34" s="1">
        <v>0.641</v>
      </c>
      <c r="E34" s="6">
        <v>-2.0</v>
      </c>
      <c r="F34" s="6">
        <v>-0.59</v>
      </c>
      <c r="K34" s="1">
        <v>-0.999</v>
      </c>
      <c r="L34" s="1">
        <v>0.314</v>
      </c>
      <c r="N34" s="4" t="str">
        <f t="shared" si="2"/>
        <v>-0,999 &amp; 0,314 \\ </v>
      </c>
      <c r="O34" s="1">
        <v>-1.003</v>
      </c>
      <c r="P34" s="1">
        <v>-0.301</v>
      </c>
      <c r="Q34" s="4" t="str">
        <f t="shared" si="3"/>
        <v>-1,003 &amp; -0,301 \\ </v>
      </c>
    </row>
    <row r="35">
      <c r="A35" s="1">
        <v>-0.999</v>
      </c>
      <c r="B35" s="1">
        <v>0.314</v>
      </c>
      <c r="E35" s="1">
        <v>-1.003</v>
      </c>
      <c r="F35" s="1">
        <v>-0.301</v>
      </c>
      <c r="K35" s="1">
        <v>0.0</v>
      </c>
      <c r="L35" s="6">
        <v>-0.01</v>
      </c>
      <c r="N35" s="4" t="str">
        <f t="shared" si="2"/>
        <v>0,000 &amp; -0,010 \\ </v>
      </c>
      <c r="O35" s="1">
        <v>0.0</v>
      </c>
      <c r="P35" s="6">
        <v>-0.01</v>
      </c>
      <c r="Q35" s="4" t="str">
        <f t="shared" si="3"/>
        <v>0,000 &amp; -0,010 \\ </v>
      </c>
    </row>
    <row r="36">
      <c r="A36" s="1">
        <v>0.0</v>
      </c>
      <c r="B36" s="6">
        <v>-0.01</v>
      </c>
      <c r="E36" s="1">
        <v>0.0</v>
      </c>
      <c r="F36" s="6">
        <v>-0.01</v>
      </c>
      <c r="K36" s="1">
        <v>1.009</v>
      </c>
      <c r="L36" s="1">
        <v>-0.339</v>
      </c>
      <c r="N36" s="4" t="str">
        <f t="shared" si="2"/>
        <v>1,009 &amp; -0,339 \\ </v>
      </c>
      <c r="O36" s="1">
        <v>0.999</v>
      </c>
      <c r="P36" s="6">
        <v>0.28</v>
      </c>
      <c r="Q36" s="4" t="str">
        <f t="shared" si="3"/>
        <v>0,999 &amp; 0,280 \\ </v>
      </c>
    </row>
    <row r="37">
      <c r="A37" s="1">
        <v>1.009</v>
      </c>
      <c r="B37" s="1">
        <v>-0.339</v>
      </c>
      <c r="E37" s="1">
        <v>0.999</v>
      </c>
      <c r="F37" s="6">
        <v>0.28</v>
      </c>
      <c r="K37" s="1">
        <v>2.008</v>
      </c>
      <c r="L37" s="1">
        <v>-0.663</v>
      </c>
      <c r="N37" s="4" t="str">
        <f t="shared" si="2"/>
        <v>2,008 &amp; -0,663 \\ </v>
      </c>
      <c r="O37" s="1">
        <v>2.001</v>
      </c>
      <c r="P37" s="6">
        <v>0.57</v>
      </c>
      <c r="Q37" s="4" t="str">
        <f t="shared" si="3"/>
        <v>2,001 &amp; 0,570 \\ </v>
      </c>
    </row>
    <row r="38">
      <c r="A38" s="1">
        <v>2.008</v>
      </c>
      <c r="B38" s="1">
        <v>-0.663</v>
      </c>
      <c r="E38" s="1">
        <v>2.001</v>
      </c>
      <c r="F38" s="6">
        <v>0.57</v>
      </c>
      <c r="K38" s="1">
        <v>3.002</v>
      </c>
      <c r="L38" s="1">
        <v>-0.986</v>
      </c>
      <c r="N38" s="4" t="str">
        <f t="shared" si="2"/>
        <v>3,002 &amp; -0,986 \\ </v>
      </c>
      <c r="O38" s="1">
        <v>3.004</v>
      </c>
      <c r="P38" s="6">
        <v>0.86</v>
      </c>
      <c r="Q38" s="4" t="str">
        <f t="shared" si="3"/>
        <v>3,004 &amp; 0,860 \\ </v>
      </c>
    </row>
    <row r="39">
      <c r="A39" s="1">
        <v>3.002</v>
      </c>
      <c r="B39" s="1">
        <v>-0.986</v>
      </c>
      <c r="E39" s="1">
        <v>3.004</v>
      </c>
      <c r="F39" s="6">
        <v>0.86</v>
      </c>
      <c r="K39" s="1">
        <v>4.003</v>
      </c>
      <c r="L39" s="1">
        <v>-1.312</v>
      </c>
      <c r="N39" s="4" t="str">
        <f t="shared" si="2"/>
        <v>4,003 &amp; -1,312 \\ </v>
      </c>
      <c r="O39" s="1">
        <v>4.008</v>
      </c>
      <c r="P39" s="1">
        <v>1.152</v>
      </c>
      <c r="Q39" s="4" t="str">
        <f t="shared" si="3"/>
        <v>4,008 &amp; 1,152 \\ </v>
      </c>
    </row>
    <row r="40">
      <c r="A40" s="1">
        <v>4.003</v>
      </c>
      <c r="B40" s="1">
        <v>-1.312</v>
      </c>
      <c r="E40" s="1">
        <v>4.008</v>
      </c>
      <c r="F40" s="1">
        <v>1.152</v>
      </c>
      <c r="K40" s="1">
        <v>5.004</v>
      </c>
      <c r="L40" s="1">
        <v>-1.637</v>
      </c>
      <c r="N40" s="4" t="str">
        <f t="shared" si="2"/>
        <v>5,004 &amp; -1,637 \\ </v>
      </c>
      <c r="O40" s="1">
        <v>5.007</v>
      </c>
      <c r="P40" s="6">
        <v>1.44</v>
      </c>
      <c r="Q40" s="4" t="str">
        <f t="shared" si="3"/>
        <v>5,007 &amp; 1,440 \\ </v>
      </c>
    </row>
    <row r="41">
      <c r="A41" s="1">
        <v>5.004</v>
      </c>
      <c r="B41" s="1">
        <v>-1.637</v>
      </c>
      <c r="E41" s="1">
        <v>5.007</v>
      </c>
      <c r="F41" s="6">
        <v>1.44</v>
      </c>
      <c r="K41" s="1">
        <v>6.007</v>
      </c>
      <c r="L41" s="1">
        <v>-1.963</v>
      </c>
      <c r="N41" s="4" t="str">
        <f t="shared" si="2"/>
        <v>6,007 &amp; -1,963 \\ </v>
      </c>
      <c r="O41" s="1">
        <v>6.005</v>
      </c>
      <c r="P41" s="6">
        <v>1.73</v>
      </c>
      <c r="Q41" s="4" t="str">
        <f t="shared" si="3"/>
        <v>6,005 &amp; 1,730 \\ </v>
      </c>
    </row>
    <row r="42">
      <c r="A42" s="1">
        <v>6.007</v>
      </c>
      <c r="B42" s="1">
        <v>-1.963</v>
      </c>
      <c r="E42" s="1">
        <v>6.005</v>
      </c>
      <c r="F42" s="6">
        <v>1.73</v>
      </c>
      <c r="K42" s="1">
        <v>7.002</v>
      </c>
      <c r="L42" s="1">
        <v>-2.286</v>
      </c>
      <c r="N42" s="4" t="str">
        <f t="shared" si="2"/>
        <v>7,002 &amp; -2,286 \\ </v>
      </c>
      <c r="O42" s="1">
        <v>7.004</v>
      </c>
      <c r="P42" s="1">
        <v>2.018</v>
      </c>
      <c r="Q42" s="4" t="str">
        <f t="shared" si="3"/>
        <v>7,004 &amp; 2,018 \\ </v>
      </c>
    </row>
    <row r="43">
      <c r="A43" s="1">
        <v>7.002</v>
      </c>
      <c r="B43" s="1">
        <v>-2.286</v>
      </c>
      <c r="E43" s="1">
        <v>7.004</v>
      </c>
      <c r="F43" s="1">
        <v>2.018</v>
      </c>
      <c r="K43" s="1">
        <v>8.001</v>
      </c>
      <c r="L43" s="1">
        <v>-2.611</v>
      </c>
      <c r="N43" s="4" t="str">
        <f t="shared" si="2"/>
        <v>8,001 &amp; -2,611 \\ </v>
      </c>
      <c r="O43" s="1">
        <v>7.999</v>
      </c>
      <c r="P43" s="4">
        <f>2.307</f>
        <v>2.307</v>
      </c>
      <c r="Q43" s="4" t="str">
        <f t="shared" si="3"/>
        <v>7,999 &amp; 2,307 \\ </v>
      </c>
    </row>
    <row r="44">
      <c r="A44" s="1">
        <v>8.001</v>
      </c>
      <c r="B44" s="1">
        <v>-2.611</v>
      </c>
      <c r="E44" s="1">
        <v>7.999</v>
      </c>
      <c r="F44" s="4">
        <f>2.307</f>
        <v>2.307</v>
      </c>
    </row>
    <row r="46">
      <c r="K46" s="1" t="s">
        <v>26</v>
      </c>
      <c r="M46" s="1" t="s">
        <v>27</v>
      </c>
      <c r="O46" s="1" t="s">
        <v>26</v>
      </c>
    </row>
    <row r="47">
      <c r="A47" s="1" t="s">
        <v>26</v>
      </c>
      <c r="C47" s="1" t="s">
        <v>27</v>
      </c>
      <c r="E47" s="1" t="s">
        <v>26</v>
      </c>
      <c r="G47" s="1" t="s">
        <v>27</v>
      </c>
      <c r="K47" s="1">
        <v>0.4</v>
      </c>
      <c r="O47" s="1">
        <v>-0.401</v>
      </c>
    </row>
    <row r="48">
      <c r="A48" s="1">
        <v>0.4</v>
      </c>
      <c r="E48" s="1">
        <v>-0.401</v>
      </c>
      <c r="K48" s="1" t="s">
        <v>0</v>
      </c>
      <c r="L48" s="1" t="s">
        <v>23</v>
      </c>
      <c r="O48" s="1" t="s">
        <v>0</v>
      </c>
      <c r="P48" s="1" t="s">
        <v>23</v>
      </c>
    </row>
    <row r="49">
      <c r="A49" s="1" t="s">
        <v>0</v>
      </c>
      <c r="B49" s="1" t="s">
        <v>23</v>
      </c>
      <c r="E49" s="1" t="s">
        <v>0</v>
      </c>
      <c r="F49" s="1" t="s">
        <v>23</v>
      </c>
      <c r="K49" s="1">
        <v>-8.007</v>
      </c>
      <c r="L49" s="1">
        <v>4.822</v>
      </c>
      <c r="N49" s="4" t="str">
        <f t="shared" ref="N49:N65" si="4">CONCATENATE(TEXT(K49, "0.000"), " &amp; ", TEXT(L49, "0.000"), " \\ ")</f>
        <v>-8,007 &amp; 4,822 \\ </v>
      </c>
      <c r="O49" s="1">
        <v>-7.998</v>
      </c>
      <c r="P49" s="6">
        <v>-4.74</v>
      </c>
      <c r="Q49" s="4" t="str">
        <f t="shared" ref="Q49:Q65" si="5">CONCATENATE(TEXT(O49, "0.000"), " &amp; ", TEXT(P49, "0.000"), " \\ ")</f>
        <v>-7,998 &amp; -4,740 \\ </v>
      </c>
    </row>
    <row r="50">
      <c r="A50" s="1">
        <v>-8.007</v>
      </c>
      <c r="B50" s="1">
        <v>4.822</v>
      </c>
      <c r="E50" s="1">
        <v>-7.998</v>
      </c>
      <c r="F50" s="6">
        <v>-4.74</v>
      </c>
      <c r="K50" s="1">
        <v>-7.008</v>
      </c>
      <c r="L50" s="1">
        <v>4.219</v>
      </c>
      <c r="N50" s="4" t="str">
        <f t="shared" si="4"/>
        <v>-7,008 &amp; 4,219 \\ </v>
      </c>
      <c r="O50" s="1">
        <v>-7.001</v>
      </c>
      <c r="P50" s="6">
        <v>-4.15</v>
      </c>
      <c r="Q50" s="4" t="str">
        <f t="shared" si="5"/>
        <v>-7,001 &amp; -4,150 \\ </v>
      </c>
    </row>
    <row r="51">
      <c r="A51" s="1">
        <v>-7.008</v>
      </c>
      <c r="B51" s="1">
        <v>4.219</v>
      </c>
      <c r="E51" s="1">
        <v>-7.001</v>
      </c>
      <c r="F51" s="6">
        <v>-4.15</v>
      </c>
      <c r="K51" s="6">
        <v>-6.0</v>
      </c>
      <c r="L51" s="1">
        <v>3.612</v>
      </c>
      <c r="N51" s="4" t="str">
        <f t="shared" si="4"/>
        <v>-6,000 &amp; 3,612 \\ </v>
      </c>
      <c r="O51" s="6">
        <v>-6.0</v>
      </c>
      <c r="P51" s="1">
        <v>-3.558</v>
      </c>
      <c r="Q51" s="4" t="str">
        <f t="shared" si="5"/>
        <v>-6,000 &amp; -3,558 \\ </v>
      </c>
    </row>
    <row r="52">
      <c r="A52" s="6">
        <v>-6.0</v>
      </c>
      <c r="B52" s="1">
        <v>3.612</v>
      </c>
      <c r="E52" s="6">
        <v>-6.0</v>
      </c>
      <c r="F52" s="1">
        <v>-3.558</v>
      </c>
      <c r="K52" s="1">
        <v>-5.007</v>
      </c>
      <c r="L52" s="1">
        <v>3.012</v>
      </c>
      <c r="N52" s="4" t="str">
        <f t="shared" si="4"/>
        <v>-5,007 &amp; 3,012 \\ </v>
      </c>
      <c r="O52" s="1">
        <v>-5.001</v>
      </c>
      <c r="P52" s="1">
        <v>-2.968</v>
      </c>
      <c r="Q52" s="4" t="str">
        <f t="shared" si="5"/>
        <v>-5,001 &amp; -2,968 \\ </v>
      </c>
    </row>
    <row r="53">
      <c r="A53" s="1">
        <v>-5.007</v>
      </c>
      <c r="B53" s="1">
        <v>3.012</v>
      </c>
      <c r="E53" s="1">
        <v>-5.001</v>
      </c>
      <c r="F53" s="1">
        <v>-2.968</v>
      </c>
      <c r="K53" s="1">
        <v>-4.005</v>
      </c>
      <c r="L53" s="1">
        <v>2.408</v>
      </c>
      <c r="N53" s="4" t="str">
        <f t="shared" si="4"/>
        <v>-4,005 &amp; 2,408 \\ </v>
      </c>
      <c r="O53" s="1">
        <v>-4.007</v>
      </c>
      <c r="P53" s="6">
        <v>-2.38</v>
      </c>
      <c r="Q53" s="4" t="str">
        <f t="shared" si="5"/>
        <v>-4,007 &amp; -2,380 \\ </v>
      </c>
    </row>
    <row r="54">
      <c r="A54" s="1">
        <v>-4.005</v>
      </c>
      <c r="B54" s="1">
        <v>2.408</v>
      </c>
      <c r="E54" s="1">
        <v>-4.007</v>
      </c>
      <c r="F54" s="6">
        <v>-2.38</v>
      </c>
      <c r="K54" s="1">
        <v>-3.004</v>
      </c>
      <c r="L54" s="1">
        <v>1.803</v>
      </c>
      <c r="N54" s="4" t="str">
        <f t="shared" si="4"/>
        <v>-3,004 &amp; 1,803 \\ </v>
      </c>
      <c r="O54" s="1">
        <v>-3.008</v>
      </c>
      <c r="P54" s="1">
        <v>-1.789</v>
      </c>
      <c r="Q54" s="4" t="str">
        <f t="shared" si="5"/>
        <v>-3,008 &amp; -1,789 \\ </v>
      </c>
    </row>
    <row r="55">
      <c r="A55" s="1">
        <v>-3.004</v>
      </c>
      <c r="B55" s="1">
        <v>1.803</v>
      </c>
      <c r="E55" s="1">
        <v>-3.008</v>
      </c>
      <c r="F55" s="1">
        <v>-1.789</v>
      </c>
      <c r="K55" s="1">
        <v>-2.009</v>
      </c>
      <c r="L55" s="1">
        <v>1.203</v>
      </c>
      <c r="N55" s="4" t="str">
        <f t="shared" si="4"/>
        <v>-2,009 &amp; 1,203 \\ </v>
      </c>
      <c r="O55" s="1">
        <v>-2.005</v>
      </c>
      <c r="P55" s="1">
        <v>-1.196</v>
      </c>
      <c r="Q55" s="4" t="str">
        <f t="shared" si="5"/>
        <v>-2,005 &amp; -1,196 \\ </v>
      </c>
    </row>
    <row r="56">
      <c r="A56" s="1">
        <v>-2.009</v>
      </c>
      <c r="B56" s="1">
        <v>1.203</v>
      </c>
      <c r="E56" s="1">
        <v>-2.005</v>
      </c>
      <c r="F56" s="1">
        <v>-1.196</v>
      </c>
      <c r="K56" s="1">
        <v>-1.007</v>
      </c>
      <c r="L56" s="1">
        <v>0.598</v>
      </c>
      <c r="N56" s="4" t="str">
        <f t="shared" si="4"/>
        <v>-1,007 &amp; 0,598 \\ </v>
      </c>
      <c r="O56" s="1">
        <v>-1.006</v>
      </c>
      <c r="P56" s="1">
        <v>-0.605</v>
      </c>
      <c r="Q56" s="4" t="str">
        <f t="shared" si="5"/>
        <v>-1,006 &amp; -0,605 \\ </v>
      </c>
    </row>
    <row r="57">
      <c r="A57" s="1">
        <v>-1.007</v>
      </c>
      <c r="B57" s="1">
        <v>0.598</v>
      </c>
      <c r="E57" s="1">
        <v>-1.006</v>
      </c>
      <c r="F57" s="1">
        <v>-0.605</v>
      </c>
      <c r="K57" s="1">
        <v>0.0</v>
      </c>
      <c r="L57" s="6">
        <v>-0.01</v>
      </c>
      <c r="N57" s="4" t="str">
        <f t="shared" si="4"/>
        <v>0,000 &amp; -0,010 \\ </v>
      </c>
      <c r="O57" s="1">
        <v>0.0</v>
      </c>
      <c r="P57" s="6">
        <v>-0.01</v>
      </c>
      <c r="Q57" s="4" t="str">
        <f t="shared" si="5"/>
        <v>0,000 &amp; -0,010 \\ </v>
      </c>
    </row>
    <row r="58">
      <c r="A58" s="1">
        <v>0.0</v>
      </c>
      <c r="B58" s="6">
        <v>-0.01</v>
      </c>
      <c r="E58" s="1">
        <v>0.0</v>
      </c>
      <c r="F58" s="6">
        <v>-0.01</v>
      </c>
      <c r="K58" s="6">
        <v>1.0</v>
      </c>
      <c r="L58" s="1">
        <v>-0.615</v>
      </c>
      <c r="N58" s="4" t="str">
        <f t="shared" si="4"/>
        <v>1,000 &amp; -0,615 \\ </v>
      </c>
      <c r="O58" s="1">
        <v>1.003</v>
      </c>
      <c r="P58" s="1">
        <v>0.584</v>
      </c>
      <c r="Q58" s="4" t="str">
        <f t="shared" si="5"/>
        <v>1,003 &amp; 0,584 \\ </v>
      </c>
    </row>
    <row r="59">
      <c r="A59" s="6">
        <v>1.0</v>
      </c>
      <c r="B59" s="1">
        <v>-0.615</v>
      </c>
      <c r="E59" s="1">
        <v>1.003</v>
      </c>
      <c r="F59" s="1">
        <v>0.584</v>
      </c>
      <c r="K59" s="1">
        <v>2.004</v>
      </c>
      <c r="L59" s="1">
        <v>-1.222</v>
      </c>
      <c r="N59" s="4" t="str">
        <f t="shared" si="4"/>
        <v>2,004 &amp; -1,222 \\ </v>
      </c>
      <c r="O59" s="1">
        <v>2.007</v>
      </c>
      <c r="P59" s="1">
        <v>1.178</v>
      </c>
      <c r="Q59" s="4" t="str">
        <f t="shared" si="5"/>
        <v>2,007 &amp; 1,178 \\ </v>
      </c>
    </row>
    <row r="60">
      <c r="A60" s="1">
        <v>2.004</v>
      </c>
      <c r="B60" s="1">
        <v>-1.222</v>
      </c>
      <c r="E60" s="1">
        <v>2.007</v>
      </c>
      <c r="F60" s="1">
        <v>1.178</v>
      </c>
      <c r="K60" s="1">
        <v>3.002</v>
      </c>
      <c r="L60" s="1">
        <v>-1.823</v>
      </c>
      <c r="N60" s="4" t="str">
        <f t="shared" si="4"/>
        <v>3,002 &amp; -1,823 \\ </v>
      </c>
      <c r="O60" s="1">
        <v>3.003</v>
      </c>
      <c r="P60" s="1">
        <v>1.766</v>
      </c>
      <c r="Q60" s="4" t="str">
        <f t="shared" si="5"/>
        <v>3,003 &amp; 1,766 \\ </v>
      </c>
    </row>
    <row r="61">
      <c r="A61" s="1">
        <v>3.002</v>
      </c>
      <c r="B61" s="1">
        <v>-1.823</v>
      </c>
      <c r="E61" s="1">
        <v>3.003</v>
      </c>
      <c r="F61" s="1">
        <v>1.766</v>
      </c>
      <c r="K61" s="1">
        <v>4.006</v>
      </c>
      <c r="L61" s="6">
        <v>-2.43</v>
      </c>
      <c r="N61" s="4" t="str">
        <f t="shared" si="4"/>
        <v>4,006 &amp; -2,430 \\ </v>
      </c>
      <c r="O61" s="1">
        <v>4.003</v>
      </c>
      <c r="P61" s="1">
        <v>2.357</v>
      </c>
      <c r="Q61" s="4" t="str">
        <f t="shared" si="5"/>
        <v>4,003 &amp; 2,357 \\ </v>
      </c>
    </row>
    <row r="62">
      <c r="A62" s="1">
        <v>4.006</v>
      </c>
      <c r="B62" s="6">
        <v>-2.43</v>
      </c>
      <c r="E62" s="1">
        <v>4.003</v>
      </c>
      <c r="F62" s="1">
        <v>2.357</v>
      </c>
      <c r="K62" s="1">
        <v>5.002</v>
      </c>
      <c r="L62" s="6">
        <v>-3.03</v>
      </c>
      <c r="N62" s="4" t="str">
        <f t="shared" si="4"/>
        <v>5,002 &amp; -3,030 \\ </v>
      </c>
      <c r="O62" s="1">
        <v>5.008</v>
      </c>
      <c r="P62" s="1">
        <v>2.951</v>
      </c>
      <c r="Q62" s="4" t="str">
        <f t="shared" si="5"/>
        <v>5,008 &amp; 2,951 \\ </v>
      </c>
    </row>
    <row r="63">
      <c r="A63" s="1">
        <v>5.002</v>
      </c>
      <c r="B63" s="6">
        <v>-3.03</v>
      </c>
      <c r="E63" s="1">
        <v>5.008</v>
      </c>
      <c r="F63" s="1">
        <v>2.951</v>
      </c>
      <c r="K63" s="1">
        <v>6.005</v>
      </c>
      <c r="L63" s="1">
        <v>-3.635</v>
      </c>
      <c r="N63" s="4" t="str">
        <f t="shared" si="4"/>
        <v>6,005 &amp; -3,635 \\ </v>
      </c>
      <c r="O63" s="1">
        <v>6.006</v>
      </c>
      <c r="P63" s="6">
        <v>3.54</v>
      </c>
      <c r="Q63" s="4" t="str">
        <f t="shared" si="5"/>
        <v>6,006 &amp; 3,540 \\ </v>
      </c>
    </row>
    <row r="64">
      <c r="A64" s="1">
        <v>6.005</v>
      </c>
      <c r="B64" s="1">
        <v>-3.635</v>
      </c>
      <c r="E64" s="1">
        <v>6.006</v>
      </c>
      <c r="F64" s="6">
        <v>3.54</v>
      </c>
      <c r="K64" s="1">
        <v>7.008</v>
      </c>
      <c r="L64" s="1">
        <v>-4.241</v>
      </c>
      <c r="N64" s="4" t="str">
        <f t="shared" si="4"/>
        <v>7,008 &amp; -4,241 \\ </v>
      </c>
      <c r="O64" s="6">
        <v>7.0</v>
      </c>
      <c r="P64" s="1">
        <v>4.128</v>
      </c>
      <c r="Q64" s="4" t="str">
        <f t="shared" si="5"/>
        <v>7,000 &amp; 4,128 \\ </v>
      </c>
    </row>
    <row r="65">
      <c r="A65" s="1">
        <v>7.008</v>
      </c>
      <c r="B65" s="1">
        <v>-4.241</v>
      </c>
      <c r="E65" s="6">
        <v>7.0</v>
      </c>
      <c r="F65" s="1">
        <v>4.128</v>
      </c>
      <c r="K65" s="1">
        <v>8.002</v>
      </c>
      <c r="L65" s="1">
        <v>-4.842</v>
      </c>
      <c r="N65" s="4" t="str">
        <f t="shared" si="4"/>
        <v>8,002 &amp; -4,842 \\ </v>
      </c>
      <c r="O65" s="1">
        <v>8.002</v>
      </c>
      <c r="P65" s="1">
        <v>4.72</v>
      </c>
      <c r="Q65" s="4" t="str">
        <f t="shared" si="5"/>
        <v>8,002 &amp; 4,720 \\ </v>
      </c>
    </row>
    <row r="66">
      <c r="A66" s="1">
        <v>8.002</v>
      </c>
      <c r="B66" s="1">
        <v>-4.842</v>
      </c>
      <c r="E66" s="1">
        <v>8.002</v>
      </c>
      <c r="F66" s="1">
        <v>4.72</v>
      </c>
    </row>
    <row r="68">
      <c r="K68" s="1" t="s">
        <v>26</v>
      </c>
      <c r="M68" s="1" t="s">
        <v>27</v>
      </c>
      <c r="O68" s="1" t="s">
        <v>26</v>
      </c>
    </row>
    <row r="69">
      <c r="A69" s="1" t="s">
        <v>26</v>
      </c>
      <c r="C69" s="1" t="s">
        <v>27</v>
      </c>
      <c r="E69" s="1" t="s">
        <v>26</v>
      </c>
      <c r="G69" s="1" t="s">
        <v>27</v>
      </c>
      <c r="K69" s="1">
        <v>0.701</v>
      </c>
      <c r="O69" s="1">
        <v>-0.707</v>
      </c>
    </row>
    <row r="70">
      <c r="A70" s="1">
        <v>0.701</v>
      </c>
      <c r="E70" s="1">
        <v>-0.707</v>
      </c>
      <c r="K70" s="1" t="s">
        <v>0</v>
      </c>
      <c r="L70" s="1" t="s">
        <v>23</v>
      </c>
      <c r="O70" s="1" t="s">
        <v>0</v>
      </c>
      <c r="P70" s="1" t="s">
        <v>23</v>
      </c>
    </row>
    <row r="71">
      <c r="A71" s="1" t="s">
        <v>0</v>
      </c>
      <c r="B71" s="1" t="s">
        <v>23</v>
      </c>
      <c r="E71" s="1" t="s">
        <v>0</v>
      </c>
      <c r="F71" s="1" t="s">
        <v>23</v>
      </c>
      <c r="K71" s="1">
        <v>-8.005</v>
      </c>
      <c r="L71" s="1">
        <v>8.522</v>
      </c>
      <c r="N71" s="4" t="str">
        <f t="shared" ref="N71:N87" si="6">CONCATENATE(TEXT(K71, "0.000"), " &amp; ", TEXT(L71, "0.000"), " \\ ")</f>
        <v>-8,005 &amp; 8,522 \\ </v>
      </c>
      <c r="O71" s="1">
        <v>-8.007</v>
      </c>
      <c r="P71" s="1">
        <v>-8.693</v>
      </c>
      <c r="Q71" s="4" t="str">
        <f t="shared" ref="Q71:Q87" si="7">CONCATENATE(TEXT(O71, "0.000"), " &amp; ", TEXT(P71, "0.000"), " \\ ")</f>
        <v>-8,007 &amp; -8,693 \\ </v>
      </c>
    </row>
    <row r="72">
      <c r="A72" s="1">
        <v>-8.005</v>
      </c>
      <c r="B72" s="1">
        <v>8.522</v>
      </c>
      <c r="E72" s="1">
        <v>-8.007</v>
      </c>
      <c r="F72" s="1">
        <v>-8.693</v>
      </c>
      <c r="K72" s="1">
        <v>-6.999</v>
      </c>
      <c r="L72" s="1">
        <v>7.449</v>
      </c>
      <c r="N72" s="4" t="str">
        <f t="shared" si="6"/>
        <v>-6,999 &amp; 7,449 \\ </v>
      </c>
      <c r="O72" s="1">
        <v>-7.002</v>
      </c>
      <c r="P72" s="1">
        <v>-7.604</v>
      </c>
      <c r="Q72" s="4" t="str">
        <f t="shared" si="7"/>
        <v>-7,002 &amp; -7,604 \\ </v>
      </c>
    </row>
    <row r="73">
      <c r="A73" s="1">
        <v>-6.999</v>
      </c>
      <c r="B73" s="1">
        <v>7.449</v>
      </c>
      <c r="E73" s="1">
        <v>-7.002</v>
      </c>
      <c r="F73" s="1">
        <v>-7.604</v>
      </c>
      <c r="K73" s="1">
        <v>-6.009</v>
      </c>
      <c r="L73" s="1">
        <v>6.395</v>
      </c>
      <c r="N73" s="4" t="str">
        <f t="shared" si="6"/>
        <v>-6,009 &amp; 6,395 \\ </v>
      </c>
      <c r="O73" s="1">
        <v>-6.006</v>
      </c>
      <c r="P73" s="1">
        <v>-6.526</v>
      </c>
      <c r="Q73" s="4" t="str">
        <f t="shared" si="7"/>
        <v>-6,006 &amp; -6,526 \\ </v>
      </c>
    </row>
    <row r="74">
      <c r="A74" s="1">
        <v>-6.009</v>
      </c>
      <c r="B74" s="1">
        <v>6.395</v>
      </c>
      <c r="E74" s="1">
        <v>-6.006</v>
      </c>
      <c r="F74" s="1">
        <v>-6.526</v>
      </c>
      <c r="K74" s="1">
        <v>-5.004</v>
      </c>
      <c r="L74" s="1">
        <v>5.325</v>
      </c>
      <c r="N74" s="4" t="str">
        <f t="shared" si="6"/>
        <v>-5,004 &amp; 5,325 \\ </v>
      </c>
      <c r="O74" s="1">
        <v>-5.007</v>
      </c>
      <c r="P74" s="1">
        <v>-5.441</v>
      </c>
      <c r="Q74" s="4" t="str">
        <f t="shared" si="7"/>
        <v>-5,007 &amp; -5,441 \\ </v>
      </c>
    </row>
    <row r="75">
      <c r="A75" s="1">
        <v>-5.004</v>
      </c>
      <c r="B75" s="1">
        <v>5.325</v>
      </c>
      <c r="E75" s="1">
        <v>-5.007</v>
      </c>
      <c r="F75" s="1">
        <v>-5.441</v>
      </c>
      <c r="K75" s="1">
        <v>-4.004</v>
      </c>
      <c r="L75" s="6">
        <v>4.26</v>
      </c>
      <c r="N75" s="4" t="str">
        <f t="shared" si="6"/>
        <v>-4,004 &amp; 4,260 \\ </v>
      </c>
      <c r="O75" s="1">
        <v>-4.006</v>
      </c>
      <c r="P75" s="1">
        <v>-4.357</v>
      </c>
      <c r="Q75" s="4" t="str">
        <f t="shared" si="7"/>
        <v>-4,006 &amp; -4,357 \\ </v>
      </c>
    </row>
    <row r="76">
      <c r="A76" s="1">
        <v>-4.004</v>
      </c>
      <c r="B76" s="6">
        <v>4.26</v>
      </c>
      <c r="E76" s="1">
        <v>-4.006</v>
      </c>
      <c r="F76" s="1">
        <v>-4.357</v>
      </c>
      <c r="K76" s="1">
        <v>-3.009</v>
      </c>
      <c r="L76" s="1">
        <v>3.197</v>
      </c>
      <c r="N76" s="4" t="str">
        <f t="shared" si="6"/>
        <v>-3,009 &amp; 3,197 \\ </v>
      </c>
      <c r="O76" s="1">
        <v>-3.004</v>
      </c>
      <c r="P76" s="1">
        <v>-3.268</v>
      </c>
      <c r="Q76" s="4" t="str">
        <f t="shared" si="7"/>
        <v>-3,004 &amp; -3,268 \\ </v>
      </c>
    </row>
    <row r="77">
      <c r="A77" s="1">
        <v>-3.009</v>
      </c>
      <c r="B77" s="1">
        <v>3.197</v>
      </c>
      <c r="E77" s="1">
        <v>-3.004</v>
      </c>
      <c r="F77" s="1">
        <v>-3.268</v>
      </c>
      <c r="K77" s="1">
        <v>-2.001</v>
      </c>
      <c r="L77" s="1">
        <v>2.126</v>
      </c>
      <c r="N77" s="4" t="str">
        <f t="shared" si="6"/>
        <v>-2,001 &amp; 2,126 \\ </v>
      </c>
      <c r="O77" s="1">
        <v>-2.002</v>
      </c>
      <c r="P77" s="1">
        <v>-2.181</v>
      </c>
      <c r="Q77" s="4" t="str">
        <f t="shared" si="7"/>
        <v>-2,002 &amp; -2,181 \\ </v>
      </c>
    </row>
    <row r="78">
      <c r="A78" s="1">
        <v>-2.001</v>
      </c>
      <c r="B78" s="1">
        <v>2.126</v>
      </c>
      <c r="E78" s="1">
        <v>-2.002</v>
      </c>
      <c r="F78" s="1">
        <v>-2.181</v>
      </c>
      <c r="K78" s="1">
        <v>-1.006</v>
      </c>
      <c r="L78" s="1">
        <v>1.064</v>
      </c>
      <c r="N78" s="4" t="str">
        <f t="shared" si="6"/>
        <v>-1,006 &amp; 1,064 \\ </v>
      </c>
      <c r="O78" s="1">
        <v>-1.005</v>
      </c>
      <c r="P78" s="1">
        <v>-1.098</v>
      </c>
      <c r="Q78" s="4" t="str">
        <f t="shared" si="7"/>
        <v>-1,005 &amp; -1,098 \\ </v>
      </c>
    </row>
    <row r="79">
      <c r="A79" s="1">
        <v>-1.006</v>
      </c>
      <c r="B79" s="1">
        <v>1.064</v>
      </c>
      <c r="E79" s="1">
        <v>-1.005</v>
      </c>
      <c r="F79" s="1">
        <v>-1.098</v>
      </c>
      <c r="K79" s="1">
        <v>0.0</v>
      </c>
      <c r="L79" s="1">
        <v>-0.008</v>
      </c>
      <c r="N79" s="4" t="str">
        <f t="shared" si="6"/>
        <v>0,000 &amp; -0,008 \\ </v>
      </c>
      <c r="O79" s="1">
        <v>0.0</v>
      </c>
      <c r="P79" s="1">
        <v>-0.005</v>
      </c>
      <c r="Q79" s="4" t="str">
        <f t="shared" si="7"/>
        <v>0,000 &amp; -0,005 \\ </v>
      </c>
    </row>
    <row r="80">
      <c r="A80" s="1">
        <v>0.0</v>
      </c>
      <c r="B80" s="1">
        <v>-0.008</v>
      </c>
      <c r="E80" s="1">
        <v>0.0</v>
      </c>
      <c r="F80" s="1">
        <v>-0.005</v>
      </c>
      <c r="K80" s="1">
        <v>1.006</v>
      </c>
      <c r="L80" s="1">
        <v>-1.083</v>
      </c>
      <c r="N80" s="4" t="str">
        <f t="shared" si="6"/>
        <v>1,006 &amp; -1,083 \\ </v>
      </c>
      <c r="O80" s="1">
        <v>1.009</v>
      </c>
      <c r="P80" s="1">
        <v>1.094</v>
      </c>
      <c r="Q80" s="4" t="str">
        <f t="shared" si="7"/>
        <v>1,009 &amp; 1,094 \\ </v>
      </c>
    </row>
    <row r="81">
      <c r="A81" s="1">
        <v>1.006</v>
      </c>
      <c r="B81" s="1">
        <v>-1.083</v>
      </c>
      <c r="E81" s="1">
        <v>1.009</v>
      </c>
      <c r="F81" s="1">
        <v>1.094</v>
      </c>
      <c r="K81" s="6">
        <v>2.0</v>
      </c>
      <c r="L81" s="1">
        <v>-2.144</v>
      </c>
      <c r="N81" s="4" t="str">
        <f t="shared" si="6"/>
        <v>2,000 &amp; -2,144 \\ </v>
      </c>
      <c r="O81" s="1">
        <v>2.003</v>
      </c>
      <c r="P81" s="1">
        <v>2.176</v>
      </c>
      <c r="Q81" s="4" t="str">
        <f t="shared" si="7"/>
        <v>2,003 &amp; 2,176 \\ </v>
      </c>
    </row>
    <row r="82">
      <c r="A82" s="6">
        <v>2.0</v>
      </c>
      <c r="B82" s="1">
        <v>-2.144</v>
      </c>
      <c r="E82" s="1">
        <v>2.003</v>
      </c>
      <c r="F82" s="1">
        <v>2.176</v>
      </c>
      <c r="K82" s="1">
        <v>3.006</v>
      </c>
      <c r="L82" s="1">
        <v>-3.215</v>
      </c>
      <c r="N82" s="4" t="str">
        <f t="shared" si="6"/>
        <v>3,006 &amp; -3,215 \\ </v>
      </c>
      <c r="O82" s="1">
        <v>2.999</v>
      </c>
      <c r="P82" s="1">
        <v>3.258</v>
      </c>
      <c r="Q82" s="4" t="str">
        <f t="shared" si="7"/>
        <v>2,999 &amp; 3,258 \\ </v>
      </c>
    </row>
    <row r="83">
      <c r="A83" s="1">
        <v>3.006</v>
      </c>
      <c r="B83" s="1">
        <v>-3.215</v>
      </c>
      <c r="E83" s="1">
        <v>2.999</v>
      </c>
      <c r="F83" s="1">
        <v>3.258</v>
      </c>
      <c r="K83" s="1">
        <v>4.003</v>
      </c>
      <c r="L83" s="1">
        <v>-4.279</v>
      </c>
      <c r="N83" s="4" t="str">
        <f t="shared" si="6"/>
        <v>4,003 &amp; -4,279 \\ </v>
      </c>
      <c r="O83" s="1">
        <v>4.005</v>
      </c>
      <c r="P83" s="1">
        <v>4.353</v>
      </c>
      <c r="Q83" s="4" t="str">
        <f t="shared" si="7"/>
        <v>4,005 &amp; 4,353 \\ </v>
      </c>
    </row>
    <row r="84">
      <c r="A84" s="1">
        <v>4.003</v>
      </c>
      <c r="B84" s="1">
        <v>-4.279</v>
      </c>
      <c r="E84" s="1">
        <v>4.005</v>
      </c>
      <c r="F84" s="1">
        <v>4.353</v>
      </c>
      <c r="K84" s="1">
        <v>5.006</v>
      </c>
      <c r="L84" s="1">
        <v>-5.347</v>
      </c>
      <c r="N84" s="4" t="str">
        <f t="shared" si="6"/>
        <v>5,006 &amp; -5,347 \\ </v>
      </c>
      <c r="O84" s="1">
        <v>5.007</v>
      </c>
      <c r="P84" s="1">
        <v>5.442</v>
      </c>
      <c r="Q84" s="4" t="str">
        <f t="shared" si="7"/>
        <v>5,007 &amp; 5,442 \\ </v>
      </c>
    </row>
    <row r="85">
      <c r="A85" s="1">
        <v>5.006</v>
      </c>
      <c r="B85" s="1">
        <v>-5.347</v>
      </c>
      <c r="E85" s="1">
        <v>5.007</v>
      </c>
      <c r="F85" s="1">
        <v>5.442</v>
      </c>
      <c r="K85" s="1">
        <v>6.004</v>
      </c>
      <c r="L85" s="1">
        <v>-6.411</v>
      </c>
      <c r="N85" s="4" t="str">
        <f t="shared" si="6"/>
        <v>6,004 &amp; -6,411 \\ </v>
      </c>
      <c r="O85" s="1">
        <v>5.999</v>
      </c>
      <c r="P85" s="1">
        <v>6.523</v>
      </c>
      <c r="Q85" s="4" t="str">
        <f t="shared" si="7"/>
        <v>5,999 &amp; 6,523 \\ </v>
      </c>
    </row>
    <row r="86">
      <c r="A86" s="1">
        <v>6.004</v>
      </c>
      <c r="B86" s="1">
        <v>-6.411</v>
      </c>
      <c r="E86" s="1">
        <v>5.999</v>
      </c>
      <c r="F86" s="1">
        <v>6.523</v>
      </c>
      <c r="K86" s="1">
        <v>7.001</v>
      </c>
      <c r="L86" s="1">
        <v>-7.473</v>
      </c>
      <c r="N86" s="4" t="str">
        <f t="shared" si="6"/>
        <v>7,001 &amp; -7,473 \\ </v>
      </c>
      <c r="O86" s="1">
        <v>7.002</v>
      </c>
      <c r="P86" s="1">
        <v>7.614</v>
      </c>
      <c r="Q86" s="4" t="str">
        <f t="shared" si="7"/>
        <v>7,002 &amp; 7,614 \\ </v>
      </c>
    </row>
    <row r="87">
      <c r="A87" s="1">
        <v>7.001</v>
      </c>
      <c r="B87" s="1">
        <v>-7.473</v>
      </c>
      <c r="E87" s="1">
        <v>7.002</v>
      </c>
      <c r="F87" s="1">
        <v>7.614</v>
      </c>
      <c r="K87" s="1">
        <v>8.002</v>
      </c>
      <c r="L87" s="1">
        <v>-8.541</v>
      </c>
      <c r="N87" s="4" t="str">
        <f t="shared" si="6"/>
        <v>8,002 &amp; -8,541 \\ </v>
      </c>
      <c r="O87" s="1">
        <v>8.001</v>
      </c>
      <c r="P87" s="1">
        <v>8.704</v>
      </c>
      <c r="Q87" s="4" t="str">
        <f t="shared" si="7"/>
        <v>8,001 &amp; 8,704 \\ </v>
      </c>
    </row>
    <row r="88">
      <c r="A88" s="1">
        <v>8.002</v>
      </c>
      <c r="B88" s="1">
        <v>-8.541</v>
      </c>
      <c r="E88" s="1">
        <v>8.001</v>
      </c>
      <c r="F88" s="1">
        <v>8.704</v>
      </c>
    </row>
    <row r="90">
      <c r="K90" s="1" t="s">
        <v>26</v>
      </c>
      <c r="M90" s="1" t="s">
        <v>27</v>
      </c>
      <c r="O90" s="1" t="s">
        <v>26</v>
      </c>
    </row>
    <row r="91">
      <c r="A91" s="1" t="s">
        <v>26</v>
      </c>
      <c r="C91" s="1" t="s">
        <v>27</v>
      </c>
      <c r="E91" s="1" t="s">
        <v>26</v>
      </c>
      <c r="G91" s="1" t="s">
        <v>27</v>
      </c>
      <c r="K91" s="1">
        <v>1.004</v>
      </c>
      <c r="O91" s="1">
        <v>-1.004</v>
      </c>
    </row>
    <row r="92">
      <c r="A92" s="1">
        <v>1.004</v>
      </c>
      <c r="E92" s="1">
        <v>-1.004</v>
      </c>
      <c r="K92" s="1" t="s">
        <v>0</v>
      </c>
      <c r="L92" s="1" t="s">
        <v>23</v>
      </c>
      <c r="O92" s="1" t="s">
        <v>0</v>
      </c>
      <c r="P92" s="1" t="s">
        <v>23</v>
      </c>
    </row>
    <row r="93">
      <c r="A93" s="1" t="s">
        <v>0</v>
      </c>
      <c r="B93" s="1" t="s">
        <v>23</v>
      </c>
      <c r="E93" s="1" t="s">
        <v>0</v>
      </c>
      <c r="F93" s="1" t="s">
        <v>23</v>
      </c>
      <c r="K93" s="1">
        <v>-8.004</v>
      </c>
      <c r="L93" s="1">
        <v>12.043</v>
      </c>
      <c r="N93" s="4" t="str">
        <f t="shared" ref="N93:N109" si="8">CONCATENATE(TEXT(K93, "0.000"), " &amp; ", TEXT(L93, "0.000"), " \\ ")</f>
        <v>-8,004 &amp; 12,043 \\ </v>
      </c>
      <c r="O93" s="1">
        <v>-8.005</v>
      </c>
      <c r="P93" s="1">
        <v>-12.081</v>
      </c>
      <c r="Q93" s="4" t="str">
        <f t="shared" ref="Q93:Q109" si="9">CONCATENATE(TEXT(O93, "0.000"), " &amp; ", TEXT(P93, "0.000"), " \\ ")</f>
        <v>-8,005 &amp; -12,081 \\ </v>
      </c>
    </row>
    <row r="94">
      <c r="A94" s="1">
        <v>-8.004</v>
      </c>
      <c r="B94" s="1">
        <v>12.043</v>
      </c>
      <c r="E94" s="1">
        <v>-8.005</v>
      </c>
      <c r="F94" s="1">
        <v>-12.081</v>
      </c>
      <c r="K94" s="6">
        <v>-7.0</v>
      </c>
      <c r="L94" s="1">
        <v>10.532</v>
      </c>
      <c r="N94" s="4" t="str">
        <f t="shared" si="8"/>
        <v>-7,000 &amp; 10,532 \\ </v>
      </c>
      <c r="O94" s="1">
        <v>-7.004</v>
      </c>
      <c r="P94" s="1">
        <v>-10.568</v>
      </c>
      <c r="Q94" s="4" t="str">
        <f t="shared" si="9"/>
        <v>-7,004 &amp; -10,568 \\ </v>
      </c>
    </row>
    <row r="95">
      <c r="A95" s="6">
        <v>-7.0</v>
      </c>
      <c r="B95" s="1">
        <v>10.532</v>
      </c>
      <c r="E95" s="1">
        <v>-7.004</v>
      </c>
      <c r="F95" s="1">
        <v>-10.568</v>
      </c>
      <c r="K95" s="1">
        <v>-6.008</v>
      </c>
      <c r="L95" s="1">
        <v>9.041</v>
      </c>
      <c r="N95" s="4" t="str">
        <f t="shared" si="8"/>
        <v>-6,008 &amp; 9,041 \\ </v>
      </c>
      <c r="O95" s="1">
        <v>-6.001</v>
      </c>
      <c r="P95" s="1">
        <v>-9.056</v>
      </c>
      <c r="Q95" s="4" t="str">
        <f t="shared" si="9"/>
        <v>-6,001 &amp; -9,056 \\ </v>
      </c>
    </row>
    <row r="96">
      <c r="A96" s="1">
        <v>-6.008</v>
      </c>
      <c r="B96" s="1">
        <v>9.041</v>
      </c>
      <c r="E96" s="1">
        <v>-6.001</v>
      </c>
      <c r="F96" s="1">
        <v>-9.056</v>
      </c>
      <c r="K96" s="6">
        <v>-5.0</v>
      </c>
      <c r="L96" s="1">
        <v>7.725</v>
      </c>
      <c r="N96" s="4" t="str">
        <f t="shared" si="8"/>
        <v>-5,000 &amp; 7,725 \\ </v>
      </c>
      <c r="O96" s="6">
        <v>-5.0</v>
      </c>
      <c r="P96" s="1">
        <v>-7.547</v>
      </c>
      <c r="Q96" s="4" t="str">
        <f t="shared" si="9"/>
        <v>-5,000 &amp; -7,547 \\ </v>
      </c>
    </row>
    <row r="97">
      <c r="A97" s="6">
        <v>-5.0</v>
      </c>
      <c r="B97" s="1">
        <v>7.725</v>
      </c>
      <c r="E97" s="6">
        <v>-5.0</v>
      </c>
      <c r="F97" s="1">
        <v>-7.547</v>
      </c>
      <c r="K97" s="1">
        <v>-4.004</v>
      </c>
      <c r="L97" s="1">
        <v>6.028</v>
      </c>
      <c r="N97" s="4" t="str">
        <f t="shared" si="8"/>
        <v>-4,004 &amp; 6,028 \\ </v>
      </c>
      <c r="O97" s="1">
        <v>-4.009</v>
      </c>
      <c r="P97" s="1">
        <v>-6.053</v>
      </c>
      <c r="Q97" s="4" t="str">
        <f t="shared" si="9"/>
        <v>-4,009 &amp; -6,053 \\ </v>
      </c>
    </row>
    <row r="98">
      <c r="A98" s="1">
        <v>-4.004</v>
      </c>
      <c r="B98" s="1">
        <v>6.028</v>
      </c>
      <c r="E98" s="1">
        <v>-4.009</v>
      </c>
      <c r="F98" s="1">
        <v>-6.053</v>
      </c>
      <c r="K98" s="1">
        <v>-3.006</v>
      </c>
      <c r="L98" s="1">
        <v>4.527</v>
      </c>
      <c r="N98" s="4" t="str">
        <f t="shared" si="8"/>
        <v>-3,006 &amp; 4,527 \\ </v>
      </c>
      <c r="O98" s="1">
        <v>-3.005</v>
      </c>
      <c r="P98" s="1">
        <v>-4.537</v>
      </c>
      <c r="Q98" s="4" t="str">
        <f t="shared" si="9"/>
        <v>-3,005 &amp; -4,537 \\ </v>
      </c>
    </row>
    <row r="99">
      <c r="A99" s="1">
        <v>-3.006</v>
      </c>
      <c r="B99" s="1">
        <v>4.527</v>
      </c>
      <c r="E99" s="1">
        <v>-3.005</v>
      </c>
      <c r="F99" s="1">
        <v>-4.537</v>
      </c>
      <c r="K99" s="1">
        <v>-2.005</v>
      </c>
      <c r="L99" s="1">
        <v>3.022</v>
      </c>
      <c r="N99" s="4" t="str">
        <f t="shared" si="8"/>
        <v>-2,005 &amp; 3,022 \\ </v>
      </c>
      <c r="O99" s="1">
        <v>-2.003</v>
      </c>
      <c r="P99" s="1">
        <v>-3.026</v>
      </c>
      <c r="Q99" s="4" t="str">
        <f t="shared" si="9"/>
        <v>-2,003 &amp; -3,026 \\ </v>
      </c>
    </row>
    <row r="100">
      <c r="A100" s="1">
        <v>-2.005</v>
      </c>
      <c r="B100" s="1">
        <v>3.022</v>
      </c>
      <c r="E100" s="1">
        <v>-2.003</v>
      </c>
      <c r="F100" s="1">
        <v>-3.026</v>
      </c>
      <c r="K100" s="1">
        <v>-1.006</v>
      </c>
      <c r="L100" s="1">
        <v>1.517</v>
      </c>
      <c r="N100" s="4" t="str">
        <f t="shared" si="8"/>
        <v>-1,006 &amp; 1,517 \\ </v>
      </c>
      <c r="O100" s="1">
        <v>-1.006</v>
      </c>
      <c r="P100" s="1">
        <v>-1.521</v>
      </c>
      <c r="Q100" s="4" t="str">
        <f t="shared" si="9"/>
        <v>-1,006 &amp; -1,521 \\ </v>
      </c>
    </row>
    <row r="101">
      <c r="A101" s="1">
        <v>-1.006</v>
      </c>
      <c r="B101" s="1">
        <v>1.517</v>
      </c>
      <c r="E101" s="1">
        <v>-1.006</v>
      </c>
      <c r="F101" s="1">
        <v>-1.521</v>
      </c>
      <c r="K101" s="1">
        <v>0.0</v>
      </c>
      <c r="L101" s="1">
        <v>0.001</v>
      </c>
      <c r="N101" s="4" t="str">
        <f t="shared" si="8"/>
        <v>0,000 &amp; 0,001 \\ </v>
      </c>
      <c r="O101" s="1">
        <v>0.0</v>
      </c>
      <c r="P101" s="1">
        <v>-0.003</v>
      </c>
      <c r="Q101" s="4" t="str">
        <f t="shared" si="9"/>
        <v>0,000 &amp; -0,003 \\ </v>
      </c>
    </row>
    <row r="102">
      <c r="A102" s="1">
        <v>0.0</v>
      </c>
      <c r="B102" s="1">
        <v>0.001</v>
      </c>
      <c r="E102" s="1">
        <v>0.0</v>
      </c>
      <c r="F102" s="1">
        <v>-0.003</v>
      </c>
      <c r="K102" s="1">
        <v>1.008</v>
      </c>
      <c r="L102" s="1">
        <v>-1.52</v>
      </c>
      <c r="N102" s="4" t="str">
        <f t="shared" si="8"/>
        <v>1,008 &amp; -1,520 \\ </v>
      </c>
      <c r="O102" s="1">
        <v>1.008</v>
      </c>
      <c r="P102" s="1">
        <v>1.523</v>
      </c>
      <c r="Q102" s="4" t="str">
        <f t="shared" si="9"/>
        <v>1,008 &amp; 1,523 \\ </v>
      </c>
    </row>
    <row r="103">
      <c r="A103" s="1">
        <v>1.008</v>
      </c>
      <c r="B103" s="1">
        <v>-1.52</v>
      </c>
      <c r="E103" s="1">
        <v>1.008</v>
      </c>
      <c r="F103" s="1">
        <v>1.523</v>
      </c>
      <c r="K103" s="1">
        <v>2.004</v>
      </c>
      <c r="L103" s="6">
        <v>-3.02</v>
      </c>
      <c r="N103" s="4" t="str">
        <f t="shared" si="8"/>
        <v>2,004 &amp; -3,020 \\ </v>
      </c>
      <c r="O103" s="1">
        <v>2.004</v>
      </c>
      <c r="P103" s="1">
        <v>3.026</v>
      </c>
      <c r="Q103" s="4" t="str">
        <f t="shared" si="9"/>
        <v>2,004 &amp; 3,026 \\ </v>
      </c>
    </row>
    <row r="104">
      <c r="A104" s="1">
        <v>2.004</v>
      </c>
      <c r="B104" s="6">
        <v>-3.02</v>
      </c>
      <c r="E104" s="1">
        <v>2.004</v>
      </c>
      <c r="F104" s="1">
        <v>3.026</v>
      </c>
      <c r="K104" s="1">
        <v>3.006</v>
      </c>
      <c r="L104" s="1">
        <v>-4.528</v>
      </c>
      <c r="N104" s="4" t="str">
        <f t="shared" si="8"/>
        <v>3,006 &amp; -4,528 \\ </v>
      </c>
      <c r="O104" s="1">
        <v>3.003</v>
      </c>
      <c r="P104" s="1">
        <v>4.533</v>
      </c>
      <c r="Q104" s="4" t="str">
        <f t="shared" si="9"/>
        <v>3,003 &amp; 4,533 \\ </v>
      </c>
    </row>
    <row r="105">
      <c r="A105" s="1">
        <v>3.006</v>
      </c>
      <c r="B105" s="1">
        <v>-4.528</v>
      </c>
      <c r="E105" s="1">
        <v>3.003</v>
      </c>
      <c r="F105" s="1">
        <v>4.533</v>
      </c>
      <c r="K105" s="1">
        <v>4.004</v>
      </c>
      <c r="L105" s="1">
        <v>-6.031</v>
      </c>
      <c r="N105" s="4" t="str">
        <f t="shared" si="8"/>
        <v>4,004 &amp; -6,031 \\ </v>
      </c>
      <c r="O105" s="1">
        <v>4.002</v>
      </c>
      <c r="P105" s="1">
        <v>6.041</v>
      </c>
      <c r="Q105" s="4" t="str">
        <f t="shared" si="9"/>
        <v>4,002 &amp; 6,041 \\ </v>
      </c>
    </row>
    <row r="106">
      <c r="A106" s="1">
        <v>4.004</v>
      </c>
      <c r="B106" s="1">
        <v>-6.031</v>
      </c>
      <c r="E106" s="1">
        <v>4.002</v>
      </c>
      <c r="F106" s="1">
        <v>6.041</v>
      </c>
      <c r="K106" s="1">
        <v>5.003</v>
      </c>
      <c r="L106" s="1">
        <v>-7.534</v>
      </c>
      <c r="N106" s="4" t="str">
        <f t="shared" si="8"/>
        <v>5,003 &amp; -7,534 \\ </v>
      </c>
      <c r="O106" s="1">
        <v>5.001</v>
      </c>
      <c r="P106" s="1">
        <v>7.547</v>
      </c>
      <c r="Q106" s="4" t="str">
        <f t="shared" si="9"/>
        <v>5,001 &amp; 7,547 \\ </v>
      </c>
    </row>
    <row r="107">
      <c r="A107" s="1">
        <v>5.003</v>
      </c>
      <c r="B107" s="1">
        <v>-7.534</v>
      </c>
      <c r="E107" s="1">
        <v>5.001</v>
      </c>
      <c r="F107" s="1">
        <v>7.547</v>
      </c>
      <c r="K107" s="1">
        <v>6.008</v>
      </c>
      <c r="L107" s="1">
        <v>-9.048</v>
      </c>
      <c r="N107" s="4" t="str">
        <f t="shared" si="8"/>
        <v>6,008 &amp; -9,048 \\ </v>
      </c>
      <c r="O107" s="1">
        <v>6.005</v>
      </c>
      <c r="P107" s="1">
        <v>9.062</v>
      </c>
      <c r="Q107" s="4" t="str">
        <f t="shared" si="9"/>
        <v>6,005 &amp; 9,062 \\ </v>
      </c>
    </row>
    <row r="108">
      <c r="A108" s="1">
        <v>6.008</v>
      </c>
      <c r="B108" s="1">
        <v>-9.048</v>
      </c>
      <c r="E108" s="1">
        <v>6.005</v>
      </c>
      <c r="F108" s="1">
        <v>9.062</v>
      </c>
      <c r="K108" s="1">
        <v>7.004</v>
      </c>
      <c r="L108" s="1">
        <v>-10.545</v>
      </c>
      <c r="N108" s="4" t="str">
        <f t="shared" si="8"/>
        <v>7,004 &amp; -10,545 \\ </v>
      </c>
      <c r="O108" s="1">
        <v>7.009</v>
      </c>
      <c r="P108" s="1">
        <v>10.575</v>
      </c>
      <c r="Q108" s="4" t="str">
        <f t="shared" si="9"/>
        <v>7,009 &amp; 10,575 \\ </v>
      </c>
    </row>
    <row r="109">
      <c r="A109" s="1">
        <v>7.004</v>
      </c>
      <c r="B109" s="1">
        <v>-10.545</v>
      </c>
      <c r="E109" s="1">
        <v>7.009</v>
      </c>
      <c r="F109" s="1">
        <v>10.575</v>
      </c>
      <c r="K109" s="1">
        <v>8.005</v>
      </c>
      <c r="L109" s="1">
        <v>-12.057</v>
      </c>
      <c r="N109" s="4" t="str">
        <f t="shared" si="8"/>
        <v>8,005 &amp; -12,057 \\ </v>
      </c>
      <c r="O109" s="1">
        <v>8.007</v>
      </c>
      <c r="P109" s="1">
        <v>12.08</v>
      </c>
      <c r="Q109" s="4" t="str">
        <f t="shared" si="9"/>
        <v>8,007 &amp; 12,080 \\ </v>
      </c>
    </row>
    <row r="110">
      <c r="A110" s="1">
        <v>8.005</v>
      </c>
      <c r="B110" s="1">
        <v>-12.057</v>
      </c>
      <c r="E110" s="1">
        <v>8.007</v>
      </c>
      <c r="F110" s="1">
        <v>12.08</v>
      </c>
    </row>
    <row r="112">
      <c r="K112" s="1" t="s">
        <v>26</v>
      </c>
      <c r="M112" s="1" t="s">
        <v>27</v>
      </c>
      <c r="O112" s="1" t="s">
        <v>26</v>
      </c>
    </row>
    <row r="113">
      <c r="A113" s="1" t="s">
        <v>26</v>
      </c>
      <c r="C113" s="1" t="s">
        <v>27</v>
      </c>
      <c r="E113" s="1" t="s">
        <v>26</v>
      </c>
      <c r="G113" s="1" t="s">
        <v>27</v>
      </c>
      <c r="K113" s="1">
        <v>1.306</v>
      </c>
      <c r="O113" s="1">
        <v>-1.307</v>
      </c>
    </row>
    <row r="114">
      <c r="A114" s="1">
        <v>1.306</v>
      </c>
      <c r="E114" s="1">
        <v>-1.307</v>
      </c>
      <c r="K114" s="1" t="s">
        <v>0</v>
      </c>
      <c r="L114" s="1" t="s">
        <v>23</v>
      </c>
      <c r="O114" s="1" t="s">
        <v>0</v>
      </c>
      <c r="P114" s="1" t="s">
        <v>23</v>
      </c>
    </row>
    <row r="115">
      <c r="A115" s="1" t="s">
        <v>0</v>
      </c>
      <c r="B115" s="1" t="s">
        <v>23</v>
      </c>
      <c r="E115" s="1" t="s">
        <v>0</v>
      </c>
      <c r="F115" s="1" t="s">
        <v>23</v>
      </c>
      <c r="K115" s="1">
        <v>-8.005</v>
      </c>
      <c r="L115" s="1">
        <v>15.644</v>
      </c>
      <c r="N115" s="4" t="str">
        <f t="shared" ref="N115:N131" si="10">CONCATENATE(TEXT(K115, "0.000"), " &amp; ", TEXT(L115, "0.000"), " \\ ")</f>
        <v>-8,005 &amp; 15,644 \\ </v>
      </c>
      <c r="O115" s="1">
        <v>-8.007</v>
      </c>
      <c r="P115" s="1">
        <v>-15.529</v>
      </c>
      <c r="Q115" s="4" t="str">
        <f t="shared" ref="Q115:Q131" si="11">CONCATENATE(TEXT(O115, "0.000"), " &amp; ", TEXT(P115, "0.000"), " \\ ")</f>
        <v>-8,007 &amp; -15,529 \\ </v>
      </c>
    </row>
    <row r="116">
      <c r="A116" s="1">
        <v>-8.005</v>
      </c>
      <c r="B116" s="1">
        <v>15.644</v>
      </c>
      <c r="E116" s="1">
        <v>-8.007</v>
      </c>
      <c r="F116" s="1">
        <v>-15.529</v>
      </c>
      <c r="K116" s="1">
        <v>-7.007</v>
      </c>
      <c r="L116" s="1">
        <v>13.694</v>
      </c>
      <c r="N116" s="4" t="str">
        <f t="shared" si="10"/>
        <v>-7,007 &amp; 13,694 \\ </v>
      </c>
      <c r="O116" s="1">
        <v>-7.005</v>
      </c>
      <c r="P116" s="1">
        <v>-13.585</v>
      </c>
      <c r="Q116" s="4" t="str">
        <f t="shared" si="11"/>
        <v>-7,005 &amp; -13,585 \\ </v>
      </c>
    </row>
    <row r="117">
      <c r="A117" s="1">
        <v>-7.007</v>
      </c>
      <c r="B117" s="1">
        <v>13.694</v>
      </c>
      <c r="E117" s="1">
        <v>-7.005</v>
      </c>
      <c r="F117" s="1">
        <v>-13.585</v>
      </c>
      <c r="K117" s="1">
        <v>-6.008</v>
      </c>
      <c r="L117" s="1">
        <v>11.744</v>
      </c>
      <c r="N117" s="4" t="str">
        <f t="shared" si="10"/>
        <v>-6,008 &amp; 11,744 \\ </v>
      </c>
      <c r="O117" s="1">
        <v>-6.009</v>
      </c>
      <c r="P117" s="1">
        <v>-11.653</v>
      </c>
      <c r="Q117" s="4" t="str">
        <f t="shared" si="11"/>
        <v>-6,009 &amp; -11,653 \\ </v>
      </c>
    </row>
    <row r="118">
      <c r="A118" s="1">
        <v>-6.008</v>
      </c>
      <c r="B118" s="1">
        <v>11.744</v>
      </c>
      <c r="E118" s="1">
        <v>-6.009</v>
      </c>
      <c r="F118" s="1">
        <v>-11.653</v>
      </c>
      <c r="K118" s="1">
        <v>-5.005</v>
      </c>
      <c r="L118" s="1">
        <v>9.784</v>
      </c>
      <c r="N118" s="4" t="str">
        <f t="shared" si="10"/>
        <v>-5,005 &amp; 9,784 \\ </v>
      </c>
      <c r="O118" s="1">
        <v>-5.003</v>
      </c>
      <c r="P118" s="1">
        <v>-9.698</v>
      </c>
      <c r="Q118" s="4" t="str">
        <f t="shared" si="11"/>
        <v>-5,003 &amp; -9,698 \\ </v>
      </c>
    </row>
    <row r="119">
      <c r="A119" s="1">
        <v>-5.005</v>
      </c>
      <c r="B119" s="1">
        <v>9.784</v>
      </c>
      <c r="E119" s="1">
        <v>-5.003</v>
      </c>
      <c r="F119" s="1">
        <v>-9.698</v>
      </c>
      <c r="K119" s="1">
        <v>-4.002</v>
      </c>
      <c r="L119" s="1">
        <v>7.826</v>
      </c>
      <c r="N119" s="4" t="str">
        <f t="shared" si="10"/>
        <v>-4,002 &amp; 7,826 \\ </v>
      </c>
      <c r="O119" s="1">
        <v>-4.004</v>
      </c>
      <c r="P119" s="1">
        <v>-7.762</v>
      </c>
      <c r="Q119" s="4" t="str">
        <f t="shared" si="11"/>
        <v>-4,004 &amp; -7,762 \\ </v>
      </c>
    </row>
    <row r="120">
      <c r="A120" s="1">
        <v>-4.002</v>
      </c>
      <c r="B120" s="1">
        <v>7.826</v>
      </c>
      <c r="E120" s="1">
        <v>-4.004</v>
      </c>
      <c r="F120" s="1">
        <v>-7.762</v>
      </c>
      <c r="K120" s="1">
        <v>-3.008</v>
      </c>
      <c r="L120" s="1">
        <v>5.884</v>
      </c>
      <c r="N120" s="4" t="str">
        <f t="shared" si="10"/>
        <v>-3,008 &amp; 5,884 \\ </v>
      </c>
      <c r="O120" s="1">
        <v>-3.008</v>
      </c>
      <c r="P120" s="1">
        <v>-5.828</v>
      </c>
      <c r="Q120" s="4" t="str">
        <f t="shared" si="11"/>
        <v>-3,008 &amp; -5,828 \\ </v>
      </c>
    </row>
    <row r="121">
      <c r="A121" s="1">
        <v>-3.008</v>
      </c>
      <c r="B121" s="1">
        <v>5.884</v>
      </c>
      <c r="E121" s="1">
        <v>-3.008</v>
      </c>
      <c r="F121" s="1">
        <v>-5.828</v>
      </c>
      <c r="K121" s="1">
        <v>-2.003</v>
      </c>
      <c r="L121" s="1">
        <v>3.921</v>
      </c>
      <c r="N121" s="4" t="str">
        <f t="shared" si="10"/>
        <v>-2,003 &amp; 3,921 \\ </v>
      </c>
      <c r="O121" s="1">
        <v>-2.004</v>
      </c>
      <c r="P121" s="1">
        <v>-3.882</v>
      </c>
      <c r="Q121" s="4" t="str">
        <f t="shared" si="11"/>
        <v>-2,004 &amp; -3,882 \\ </v>
      </c>
    </row>
    <row r="122">
      <c r="A122" s="1">
        <v>-2.003</v>
      </c>
      <c r="B122" s="1">
        <v>3.921</v>
      </c>
      <c r="E122" s="1">
        <v>-2.004</v>
      </c>
      <c r="F122" s="1">
        <v>-3.882</v>
      </c>
      <c r="K122" s="1">
        <v>-1.002</v>
      </c>
      <c r="L122" s="1">
        <v>1.965</v>
      </c>
      <c r="N122" s="4" t="str">
        <f t="shared" si="10"/>
        <v>-1,002 &amp; 1,965 \\ </v>
      </c>
      <c r="O122" s="1">
        <v>-1.005</v>
      </c>
      <c r="P122" s="1">
        <v>-1.943</v>
      </c>
      <c r="Q122" s="4" t="str">
        <f t="shared" si="11"/>
        <v>-1,005 &amp; -1,943 \\ </v>
      </c>
    </row>
    <row r="123">
      <c r="A123" s="1">
        <v>-1.002</v>
      </c>
      <c r="B123" s="1">
        <v>1.965</v>
      </c>
      <c r="E123" s="1">
        <v>-1.005</v>
      </c>
      <c r="F123" s="1">
        <v>-1.943</v>
      </c>
      <c r="K123" s="1">
        <v>0.0</v>
      </c>
      <c r="L123" s="1">
        <v>0.004</v>
      </c>
      <c r="N123" s="4" t="str">
        <f t="shared" si="10"/>
        <v>0,000 &amp; 0,004 \\ </v>
      </c>
      <c r="O123" s="1">
        <v>0.0</v>
      </c>
      <c r="P123" s="1">
        <v>0.009</v>
      </c>
      <c r="Q123" s="4" t="str">
        <f t="shared" si="11"/>
        <v>0,000 &amp; 0,009 \\ </v>
      </c>
    </row>
    <row r="124">
      <c r="A124" s="1">
        <v>0.0</v>
      </c>
      <c r="B124" s="1">
        <v>0.004</v>
      </c>
      <c r="E124" s="1">
        <v>0.0</v>
      </c>
      <c r="F124" s="1">
        <v>0.009</v>
      </c>
      <c r="K124" s="1">
        <v>1.007</v>
      </c>
      <c r="L124" s="1">
        <v>-1.967</v>
      </c>
      <c r="N124" s="4" t="str">
        <f t="shared" si="10"/>
        <v>1,007 &amp; -1,967 \\ </v>
      </c>
      <c r="O124" s="1">
        <v>1.004</v>
      </c>
      <c r="P124" s="1">
        <v>1.966</v>
      </c>
      <c r="Q124" s="4" t="str">
        <f t="shared" si="11"/>
        <v>1,004 &amp; 1,966 \\ </v>
      </c>
    </row>
    <row r="125">
      <c r="A125" s="1">
        <v>1.007</v>
      </c>
      <c r="B125" s="1">
        <v>-1.967</v>
      </c>
      <c r="E125" s="1">
        <v>1.004</v>
      </c>
      <c r="F125" s="1">
        <v>1.966</v>
      </c>
      <c r="K125" s="1">
        <v>2.004</v>
      </c>
      <c r="L125" s="1">
        <v>-3.917</v>
      </c>
      <c r="N125" s="4" t="str">
        <f t="shared" si="10"/>
        <v>2,004 &amp; -3,917 \\ </v>
      </c>
      <c r="O125" s="1">
        <v>2.002</v>
      </c>
      <c r="P125" s="1">
        <v>3.906</v>
      </c>
      <c r="Q125" s="4" t="str">
        <f t="shared" si="11"/>
        <v>2,002 &amp; 3,906 \\ </v>
      </c>
    </row>
    <row r="126">
      <c r="A126" s="1">
        <v>2.004</v>
      </c>
      <c r="B126" s="1">
        <v>-3.917</v>
      </c>
      <c r="E126" s="1">
        <v>2.002</v>
      </c>
      <c r="F126" s="1">
        <v>3.906</v>
      </c>
      <c r="K126" s="1">
        <v>3.006</v>
      </c>
      <c r="L126" s="1">
        <v>-5.874</v>
      </c>
      <c r="N126" s="4" t="str">
        <f t="shared" si="10"/>
        <v>3,006 &amp; -5,874 \\ </v>
      </c>
      <c r="O126" s="1">
        <v>3.003</v>
      </c>
      <c r="P126" s="6">
        <v>5.85</v>
      </c>
      <c r="Q126" s="4" t="str">
        <f t="shared" si="11"/>
        <v>3,003 &amp; 5,850 \\ </v>
      </c>
    </row>
    <row r="127">
      <c r="A127" s="1">
        <v>3.006</v>
      </c>
      <c r="B127" s="1">
        <v>-5.874</v>
      </c>
      <c r="E127" s="1">
        <v>3.003</v>
      </c>
      <c r="F127" s="6">
        <v>5.85</v>
      </c>
      <c r="K127" s="1">
        <v>4.004</v>
      </c>
      <c r="L127" s="1">
        <v>-7.823</v>
      </c>
      <c r="N127" s="4" t="str">
        <f t="shared" si="10"/>
        <v>4,004 &amp; -7,823 \\ </v>
      </c>
      <c r="O127" s="1">
        <v>4.003</v>
      </c>
      <c r="P127" s="1">
        <v>7.794</v>
      </c>
      <c r="Q127" s="4" t="str">
        <f t="shared" si="11"/>
        <v>4,003 &amp; 7,794 \\ </v>
      </c>
    </row>
    <row r="128">
      <c r="A128" s="1">
        <v>4.004</v>
      </c>
      <c r="B128" s="1">
        <v>-7.823</v>
      </c>
      <c r="E128" s="1">
        <v>4.003</v>
      </c>
      <c r="F128" s="1">
        <v>7.794</v>
      </c>
      <c r="K128" s="1">
        <v>5.003</v>
      </c>
      <c r="L128" s="1">
        <v>-9.773</v>
      </c>
      <c r="N128" s="4" t="str">
        <f t="shared" si="10"/>
        <v>5,003 &amp; -9,773 \\ </v>
      </c>
      <c r="O128" s="1">
        <v>5.002</v>
      </c>
      <c r="P128" s="1">
        <v>9.733</v>
      </c>
      <c r="Q128" s="4" t="str">
        <f t="shared" si="11"/>
        <v>5,002 &amp; 9,733 \\ </v>
      </c>
    </row>
    <row r="129">
      <c r="A129" s="1">
        <v>5.003</v>
      </c>
      <c r="B129" s="1">
        <v>-9.773</v>
      </c>
      <c r="E129" s="1">
        <v>5.002</v>
      </c>
      <c r="F129" s="1">
        <v>9.733</v>
      </c>
      <c r="K129" s="1">
        <v>6.004</v>
      </c>
      <c r="L129" s="6">
        <v>-11.73</v>
      </c>
      <c r="N129" s="4" t="str">
        <f t="shared" si="10"/>
        <v>6,004 &amp; -11,730 \\ </v>
      </c>
      <c r="O129" s="1">
        <v>6.002</v>
      </c>
      <c r="P129" s="1">
        <v>11.677</v>
      </c>
      <c r="Q129" s="4" t="str">
        <f t="shared" si="11"/>
        <v>6,002 &amp; 11,677 \\ </v>
      </c>
    </row>
    <row r="130">
      <c r="A130" s="1">
        <v>6.004</v>
      </c>
      <c r="B130" s="6">
        <v>-11.73</v>
      </c>
      <c r="E130" s="1">
        <v>6.002</v>
      </c>
      <c r="F130" s="1">
        <v>11.677</v>
      </c>
      <c r="K130" s="1">
        <v>7.003</v>
      </c>
      <c r="L130" s="6">
        <v>-13.68</v>
      </c>
      <c r="N130" s="4" t="str">
        <f t="shared" si="10"/>
        <v>7,003 &amp; -13,680 \\ </v>
      </c>
      <c r="O130" s="1">
        <v>7.002</v>
      </c>
      <c r="P130" s="6">
        <v>13.62</v>
      </c>
      <c r="Q130" s="4" t="str">
        <f t="shared" si="11"/>
        <v>7,002 &amp; 13,620 \\ </v>
      </c>
    </row>
    <row r="131">
      <c r="A131" s="1">
        <v>7.003</v>
      </c>
      <c r="B131" s="6">
        <v>-13.68</v>
      </c>
      <c r="E131" s="1">
        <v>7.002</v>
      </c>
      <c r="F131" s="6">
        <v>13.62</v>
      </c>
      <c r="K131" s="1">
        <v>8.005</v>
      </c>
      <c r="L131" s="1">
        <v>-15.637</v>
      </c>
      <c r="N131" s="4" t="str">
        <f t="shared" si="10"/>
        <v>8,005 &amp; -15,637 \\ </v>
      </c>
      <c r="O131" s="1">
        <v>8.002</v>
      </c>
      <c r="P131" s="1">
        <v>15.573</v>
      </c>
      <c r="Q131" s="4" t="str">
        <f t="shared" si="11"/>
        <v>8,002 &amp; 15,573 \\ </v>
      </c>
    </row>
    <row r="132">
      <c r="A132" s="1">
        <v>8.005</v>
      </c>
      <c r="B132" s="1">
        <v>-15.637</v>
      </c>
      <c r="E132" s="1">
        <v>8.002</v>
      </c>
      <c r="F132" s="1">
        <v>15.573</v>
      </c>
    </row>
    <row r="134">
      <c r="K134" s="12"/>
      <c r="L134" s="12"/>
      <c r="M134" s="12"/>
      <c r="N134" s="12"/>
      <c r="O134" s="12"/>
      <c r="P134" s="12"/>
      <c r="Q134" s="12"/>
    </row>
    <row r="135">
      <c r="A135" s="1" t="s">
        <v>28</v>
      </c>
    </row>
    <row r="136">
      <c r="A136" s="1" t="s">
        <v>29</v>
      </c>
      <c r="E136" s="1" t="s">
        <v>29</v>
      </c>
      <c r="K136" s="1" t="s">
        <v>29</v>
      </c>
      <c r="O136" s="1" t="s">
        <v>29</v>
      </c>
    </row>
    <row r="137">
      <c r="A137" s="1">
        <v>8.004</v>
      </c>
      <c r="E137" s="1">
        <v>-8.007</v>
      </c>
      <c r="K137" s="1">
        <v>8.004</v>
      </c>
      <c r="O137" s="1">
        <v>-8.007</v>
      </c>
    </row>
    <row r="138">
      <c r="A138" s="1" t="s">
        <v>30</v>
      </c>
      <c r="B138" s="1" t="s">
        <v>23</v>
      </c>
      <c r="E138" s="1" t="s">
        <v>30</v>
      </c>
      <c r="F138" s="1" t="s">
        <v>23</v>
      </c>
      <c r="K138" s="1" t="s">
        <v>30</v>
      </c>
      <c r="L138" s="1" t="s">
        <v>23</v>
      </c>
      <c r="O138" s="1" t="s">
        <v>30</v>
      </c>
      <c r="P138" s="1" t="s">
        <v>23</v>
      </c>
    </row>
    <row r="139">
      <c r="A139" s="1">
        <v>-1.306</v>
      </c>
      <c r="B139" s="6">
        <v>15.56</v>
      </c>
      <c r="E139" s="1">
        <v>-1.306</v>
      </c>
      <c r="F139" s="6">
        <v>-15.48</v>
      </c>
      <c r="K139" s="1">
        <v>-1.306</v>
      </c>
      <c r="L139" s="6">
        <v>15.56</v>
      </c>
      <c r="N139" s="4" t="str">
        <f t="shared" ref="N139:N149" si="12">CONCATENATE(TEXT(K139, "0.000"), " &amp; ", TEXT(L139, "0.000"), " \\ ")</f>
        <v>-1,306 &amp; 15,560 \\ </v>
      </c>
      <c r="O139" s="1">
        <v>-1.306</v>
      </c>
      <c r="P139" s="6">
        <v>-15.48</v>
      </c>
      <c r="Q139" s="4" t="str">
        <f t="shared" ref="Q139:Q149" si="13">CONCATENATE(TEXT(O139, "0.000"), " &amp; ", TEXT(P139, "0.000"), " \\ ")</f>
        <v>-1,306 &amp; -15,480 \\ </v>
      </c>
    </row>
    <row r="140">
      <c r="A140" s="1">
        <v>-1.005</v>
      </c>
      <c r="B140" s="1">
        <v>12.658</v>
      </c>
      <c r="E140" s="1">
        <v>-1.009</v>
      </c>
      <c r="F140" s="1">
        <v>-12.022</v>
      </c>
      <c r="K140" s="1">
        <v>-1.005</v>
      </c>
      <c r="L140" s="1">
        <v>12.658</v>
      </c>
      <c r="N140" s="4" t="str">
        <f t="shared" si="12"/>
        <v>-1,005 &amp; 12,658 \\ </v>
      </c>
      <c r="O140" s="1">
        <v>-1.009</v>
      </c>
      <c r="P140" s="1">
        <v>-12.022</v>
      </c>
      <c r="Q140" s="4" t="str">
        <f t="shared" si="13"/>
        <v>-1,009 &amp; -12,022 \\ </v>
      </c>
    </row>
    <row r="141">
      <c r="A141" s="1">
        <v>-0.703</v>
      </c>
      <c r="B141" s="1">
        <v>9.119</v>
      </c>
      <c r="E141" s="6">
        <v>-0.71</v>
      </c>
      <c r="F141" s="1">
        <v>-8.527</v>
      </c>
      <c r="K141" s="1">
        <v>-0.703</v>
      </c>
      <c r="L141" s="1">
        <v>9.119</v>
      </c>
      <c r="N141" s="4" t="str">
        <f t="shared" si="12"/>
        <v>-0,703 &amp; 9,119 \\ </v>
      </c>
      <c r="O141" s="6">
        <v>-0.71</v>
      </c>
      <c r="P141" s="1">
        <v>-8.527</v>
      </c>
      <c r="Q141" s="4" t="str">
        <f t="shared" si="13"/>
        <v>-0,710 &amp; -8,527 \\ </v>
      </c>
    </row>
    <row r="142">
      <c r="A142" s="1">
        <v>-0.404</v>
      </c>
      <c r="B142" s="1">
        <v>5.532</v>
      </c>
      <c r="E142" s="1">
        <v>-0.401</v>
      </c>
      <c r="F142" s="1">
        <v>-4.678</v>
      </c>
      <c r="K142" s="1">
        <v>-0.404</v>
      </c>
      <c r="L142" s="1">
        <v>5.532</v>
      </c>
      <c r="N142" s="4" t="str">
        <f t="shared" si="12"/>
        <v>-0,404 &amp; 5,532 \\ </v>
      </c>
      <c r="O142" s="1">
        <v>-0.401</v>
      </c>
      <c r="P142" s="1">
        <v>-4.678</v>
      </c>
      <c r="Q142" s="4" t="str">
        <f t="shared" si="13"/>
        <v>-0,401 &amp; -4,678 \\ </v>
      </c>
    </row>
    <row r="143">
      <c r="A143" s="1">
        <v>-0.204</v>
      </c>
      <c r="B143" s="1">
        <v>2.709</v>
      </c>
      <c r="E143" s="1">
        <v>-0.201</v>
      </c>
      <c r="F143" s="1">
        <v>-2.348</v>
      </c>
      <c r="K143" s="1">
        <v>-0.204</v>
      </c>
      <c r="L143" s="1">
        <v>2.709</v>
      </c>
      <c r="N143" s="4" t="str">
        <f t="shared" si="12"/>
        <v>-0,204 &amp; 2,709 \\ </v>
      </c>
      <c r="O143" s="1">
        <v>-0.201</v>
      </c>
      <c r="P143" s="1">
        <v>-2.348</v>
      </c>
      <c r="Q143" s="4" t="str">
        <f t="shared" si="13"/>
        <v>-0,201 &amp; -2,348 \\ </v>
      </c>
    </row>
    <row r="144">
      <c r="A144" s="1">
        <v>0.0</v>
      </c>
      <c r="B144" s="6">
        <v>0.44</v>
      </c>
      <c r="E144" s="1">
        <v>0.0</v>
      </c>
      <c r="F144" s="1">
        <v>0.416</v>
      </c>
      <c r="K144" s="1">
        <v>0.0</v>
      </c>
      <c r="L144" s="6">
        <v>0.44</v>
      </c>
      <c r="N144" s="4" t="str">
        <f t="shared" si="12"/>
        <v>0,000 &amp; 0,440 \\ </v>
      </c>
      <c r="O144" s="1">
        <v>0.0</v>
      </c>
      <c r="P144" s="1">
        <v>0.416</v>
      </c>
      <c r="Q144" s="4" t="str">
        <f t="shared" si="13"/>
        <v>0,000 &amp; 0,416 \\ </v>
      </c>
    </row>
    <row r="145">
      <c r="A145" s="1">
        <v>0.207</v>
      </c>
      <c r="B145" s="1">
        <v>-2.191</v>
      </c>
      <c r="E145" s="1">
        <v>0.206</v>
      </c>
      <c r="F145" s="1">
        <v>2.976</v>
      </c>
      <c r="K145" s="1">
        <v>0.207</v>
      </c>
      <c r="L145" s="1">
        <v>-2.191</v>
      </c>
      <c r="N145" s="4" t="str">
        <f t="shared" si="12"/>
        <v>0,207 &amp; -2,191 \\ </v>
      </c>
      <c r="O145" s="1">
        <v>0.206</v>
      </c>
      <c r="P145" s="1">
        <v>2.976</v>
      </c>
      <c r="Q145" s="4" t="str">
        <f t="shared" si="13"/>
        <v>0,206 &amp; 2,976 \\ </v>
      </c>
    </row>
    <row r="146">
      <c r="A146" s="1">
        <v>0.408</v>
      </c>
      <c r="B146" s="1">
        <v>-4.956</v>
      </c>
      <c r="E146" s="1">
        <v>0.406</v>
      </c>
      <c r="F146" s="1">
        <v>5.547</v>
      </c>
      <c r="K146" s="1">
        <v>0.408</v>
      </c>
      <c r="L146" s="1">
        <v>-4.956</v>
      </c>
      <c r="N146" s="4" t="str">
        <f t="shared" si="12"/>
        <v>0,408 &amp; -4,956 \\ </v>
      </c>
      <c r="O146" s="1">
        <v>0.406</v>
      </c>
      <c r="P146" s="1">
        <v>5.547</v>
      </c>
      <c r="Q146" s="4" t="str">
        <f t="shared" si="13"/>
        <v>0,406 &amp; 5,547 \\ </v>
      </c>
    </row>
    <row r="147">
      <c r="A147" s="6">
        <v>0.7</v>
      </c>
      <c r="B147" s="1">
        <v>-8.302</v>
      </c>
      <c r="E147" s="1">
        <v>0.702</v>
      </c>
      <c r="F147" s="1">
        <v>9.132</v>
      </c>
      <c r="K147" s="6">
        <v>0.7</v>
      </c>
      <c r="L147" s="1">
        <v>-8.302</v>
      </c>
      <c r="N147" s="4" t="str">
        <f t="shared" si="12"/>
        <v>0,700 &amp; -8,302 \\ </v>
      </c>
      <c r="O147" s="1">
        <v>0.702</v>
      </c>
      <c r="P147" s="1">
        <v>9.132</v>
      </c>
      <c r="Q147" s="4" t="str">
        <f t="shared" si="13"/>
        <v>0,702 &amp; 9,132 \\ </v>
      </c>
    </row>
    <row r="148">
      <c r="A148" s="1">
        <v>1.006</v>
      </c>
      <c r="B148" s="1">
        <v>-12.017</v>
      </c>
      <c r="E148" s="1">
        <v>1.005</v>
      </c>
      <c r="F148" s="6">
        <v>12.64</v>
      </c>
      <c r="K148" s="1">
        <v>1.006</v>
      </c>
      <c r="L148" s="1">
        <v>-12.017</v>
      </c>
      <c r="N148" s="4" t="str">
        <f t="shared" si="12"/>
        <v>1,006 &amp; -12,017 \\ </v>
      </c>
      <c r="O148" s="1">
        <v>1.005</v>
      </c>
      <c r="P148" s="6">
        <v>12.64</v>
      </c>
      <c r="Q148" s="4" t="str">
        <f t="shared" si="13"/>
        <v>1,005 &amp; 12,640 \\ </v>
      </c>
    </row>
    <row r="149">
      <c r="A149" s="1">
        <v>1.302</v>
      </c>
      <c r="B149" s="6">
        <v>-15.45</v>
      </c>
      <c r="E149" s="1">
        <v>1.302</v>
      </c>
      <c r="F149" s="1">
        <v>15.507</v>
      </c>
      <c r="K149" s="1">
        <v>1.302</v>
      </c>
      <c r="L149" s="6">
        <v>-15.45</v>
      </c>
      <c r="N149" s="4" t="str">
        <f t="shared" si="12"/>
        <v>1,302 &amp; -15,450 \\ </v>
      </c>
      <c r="O149" s="1">
        <v>1.302</v>
      </c>
      <c r="P149" s="1">
        <v>15.507</v>
      </c>
      <c r="Q149" s="4" t="str">
        <f t="shared" si="13"/>
        <v>1,302 &amp; 15,507 \\ </v>
      </c>
    </row>
    <row r="152">
      <c r="A152" s="1" t="s">
        <v>29</v>
      </c>
      <c r="E152" s="1" t="s">
        <v>29</v>
      </c>
      <c r="K152" s="1" t="s">
        <v>29</v>
      </c>
      <c r="O152" s="1" t="s">
        <v>29</v>
      </c>
    </row>
    <row r="153">
      <c r="A153" s="6">
        <v>5.0</v>
      </c>
      <c r="E153" s="1">
        <v>-5.001</v>
      </c>
      <c r="K153" s="6">
        <v>5.0</v>
      </c>
      <c r="O153" s="1">
        <v>-5.001</v>
      </c>
    </row>
    <row r="154">
      <c r="A154" s="1" t="s">
        <v>30</v>
      </c>
      <c r="B154" s="1" t="s">
        <v>23</v>
      </c>
      <c r="E154" s="1" t="s">
        <v>30</v>
      </c>
      <c r="F154" s="1" t="s">
        <v>23</v>
      </c>
      <c r="K154" s="1" t="s">
        <v>30</v>
      </c>
      <c r="L154" s="1" t="s">
        <v>23</v>
      </c>
      <c r="O154" s="1" t="s">
        <v>30</v>
      </c>
      <c r="P154" s="1" t="s">
        <v>23</v>
      </c>
    </row>
    <row r="155">
      <c r="A155" s="1">
        <v>-1.303</v>
      </c>
      <c r="B155" s="6">
        <v>9.654</v>
      </c>
      <c r="E155" s="1">
        <v>-1.305</v>
      </c>
      <c r="F155" s="6">
        <v>-9.656</v>
      </c>
      <c r="K155" s="1">
        <v>-1.303</v>
      </c>
      <c r="L155" s="6">
        <v>9.654</v>
      </c>
      <c r="N155" s="4" t="str">
        <f t="shared" ref="N155:N165" si="14">CONCATENATE(TEXT(K155, "0.000"), " &amp; ", TEXT(L155, "0.000"), " \\ ")</f>
        <v>-1,303 &amp; 9,654 \\ </v>
      </c>
      <c r="O155" s="1">
        <v>-1.305</v>
      </c>
      <c r="P155" s="6">
        <v>-9.656</v>
      </c>
      <c r="Q155" s="4" t="str">
        <f t="shared" ref="Q155:Q165" si="15">CONCATENATE(TEXT(O155, "0.000"), " &amp; ", TEXT(P155, "0.000"), " \\ ")</f>
        <v>-1,305 &amp; -9,656 \\ </v>
      </c>
    </row>
    <row r="156">
      <c r="A156" s="1">
        <v>-1.007</v>
      </c>
      <c r="B156" s="1">
        <v>7.568</v>
      </c>
      <c r="E156" s="1">
        <v>-1.006</v>
      </c>
      <c r="F156" s="1">
        <v>-7.845</v>
      </c>
      <c r="K156" s="1">
        <v>-1.007</v>
      </c>
      <c r="L156" s="1">
        <v>7.568</v>
      </c>
      <c r="N156" s="4" t="str">
        <f t="shared" si="14"/>
        <v>-1,007 &amp; 7,568 \\ </v>
      </c>
      <c r="O156" s="1">
        <v>-1.006</v>
      </c>
      <c r="P156" s="1">
        <v>-7.845</v>
      </c>
      <c r="Q156" s="4" t="str">
        <f t="shared" si="15"/>
        <v>-1,006 &amp; -7,845 \\ </v>
      </c>
    </row>
    <row r="157">
      <c r="A157" s="1">
        <v>-0.699</v>
      </c>
      <c r="B157" s="1">
        <v>5.235</v>
      </c>
      <c r="E157" s="6">
        <v>-0.7</v>
      </c>
      <c r="F157" s="1">
        <v>-5.507</v>
      </c>
      <c r="K157" s="1">
        <v>-0.699</v>
      </c>
      <c r="L157" s="1">
        <v>5.235</v>
      </c>
      <c r="N157" s="4" t="str">
        <f t="shared" si="14"/>
        <v>-0,699 &amp; 5,235 \\ </v>
      </c>
      <c r="O157" s="6">
        <v>-0.7</v>
      </c>
      <c r="P157" s="1">
        <v>-5.507</v>
      </c>
      <c r="Q157" s="4" t="str">
        <f t="shared" si="15"/>
        <v>-0,700 &amp; -5,507 \\ </v>
      </c>
    </row>
    <row r="158">
      <c r="A158" s="6">
        <v>-0.4</v>
      </c>
      <c r="B158" s="1">
        <v>2.977</v>
      </c>
      <c r="E158" s="1">
        <v>-0.404</v>
      </c>
      <c r="F158" s="1">
        <v>-3.393</v>
      </c>
      <c r="K158" s="6">
        <v>-0.4</v>
      </c>
      <c r="L158" s="1">
        <v>2.977</v>
      </c>
      <c r="N158" s="4" t="str">
        <f t="shared" si="14"/>
        <v>-0,400 &amp; 2,977 \\ </v>
      </c>
      <c r="O158" s="1">
        <v>-0.404</v>
      </c>
      <c r="P158" s="1">
        <v>-3.393</v>
      </c>
      <c r="Q158" s="4" t="str">
        <f t="shared" si="15"/>
        <v>-0,404 &amp; -3,393 \\ </v>
      </c>
    </row>
    <row r="159">
      <c r="A159" s="6">
        <v>-0.2</v>
      </c>
      <c r="B159" s="1">
        <v>1.527</v>
      </c>
      <c r="E159" s="1">
        <v>-0.209</v>
      </c>
      <c r="F159" s="1">
        <v>-1.869</v>
      </c>
      <c r="K159" s="6">
        <v>-0.2</v>
      </c>
      <c r="L159" s="1">
        <v>1.527</v>
      </c>
      <c r="N159" s="4" t="str">
        <f t="shared" si="14"/>
        <v>-0,200 &amp; 1,527 \\ </v>
      </c>
      <c r="O159" s="1">
        <v>-0.209</v>
      </c>
      <c r="P159" s="1">
        <v>-1.869</v>
      </c>
      <c r="Q159" s="4" t="str">
        <f t="shared" si="15"/>
        <v>-0,209 &amp; -1,869 \\ </v>
      </c>
    </row>
    <row r="160">
      <c r="A160" s="1">
        <v>0.0</v>
      </c>
      <c r="B160" s="6">
        <v>-0.208</v>
      </c>
      <c r="E160" s="1">
        <v>0.0</v>
      </c>
      <c r="F160" s="1">
        <v>-0.218</v>
      </c>
      <c r="K160" s="1">
        <v>0.0</v>
      </c>
      <c r="L160" s="6">
        <v>-0.208</v>
      </c>
      <c r="N160" s="4" t="str">
        <f t="shared" si="14"/>
        <v>0,000 &amp; -0,208 \\ </v>
      </c>
      <c r="O160" s="1">
        <v>0.0</v>
      </c>
      <c r="P160" s="1">
        <v>-0.218</v>
      </c>
      <c r="Q160" s="4" t="str">
        <f t="shared" si="15"/>
        <v>0,000 &amp; -0,218 \\ </v>
      </c>
    </row>
    <row r="161">
      <c r="A161" s="1">
        <v>0.208</v>
      </c>
      <c r="B161" s="1">
        <v>-1.784</v>
      </c>
      <c r="E161" s="6">
        <v>0.2</v>
      </c>
      <c r="F161" s="1">
        <v>1.391</v>
      </c>
      <c r="K161" s="1">
        <v>0.208</v>
      </c>
      <c r="L161" s="1">
        <v>-1.784</v>
      </c>
      <c r="N161" s="4" t="str">
        <f t="shared" si="14"/>
        <v>0,208 &amp; -1,784 \\ </v>
      </c>
      <c r="O161" s="6">
        <v>0.2</v>
      </c>
      <c r="P161" s="1">
        <v>1.391</v>
      </c>
      <c r="Q161" s="4" t="str">
        <f t="shared" si="15"/>
        <v>0,200 &amp; 1,391 \\ </v>
      </c>
    </row>
    <row r="162">
      <c r="A162" s="1">
        <v>0.403</v>
      </c>
      <c r="B162" s="1">
        <v>-3.357</v>
      </c>
      <c r="E162" s="1">
        <v>0.404</v>
      </c>
      <c r="F162" s="1">
        <v>2.982</v>
      </c>
      <c r="K162" s="1">
        <v>0.403</v>
      </c>
      <c r="L162" s="1">
        <v>-3.357</v>
      </c>
      <c r="N162" s="4" t="str">
        <f t="shared" si="14"/>
        <v>0,403 &amp; -3,357 \\ </v>
      </c>
      <c r="O162" s="1">
        <v>0.404</v>
      </c>
      <c r="P162" s="1">
        <v>2.982</v>
      </c>
      <c r="Q162" s="4" t="str">
        <f t="shared" si="15"/>
        <v>0,404 &amp; 2,982 \\ </v>
      </c>
    </row>
    <row r="163">
      <c r="A163" s="6">
        <v>0.703</v>
      </c>
      <c r="B163" s="6">
        <v>-5.68</v>
      </c>
      <c r="E163" s="6">
        <v>0.7</v>
      </c>
      <c r="F163" s="1">
        <v>5.238</v>
      </c>
      <c r="K163" s="6">
        <v>0.703</v>
      </c>
      <c r="L163" s="6">
        <v>-5.68</v>
      </c>
      <c r="N163" s="4" t="str">
        <f t="shared" si="14"/>
        <v>0,703 &amp; -5,680 \\ </v>
      </c>
      <c r="O163" s="6">
        <v>0.7</v>
      </c>
      <c r="P163" s="1">
        <v>5.238</v>
      </c>
      <c r="Q163" s="4" t="str">
        <f t="shared" si="15"/>
        <v>0,700 &amp; 5,238 \\ </v>
      </c>
    </row>
    <row r="164">
      <c r="A164" s="1">
        <v>1.006</v>
      </c>
      <c r="B164" s="6">
        <v>-7.83</v>
      </c>
      <c r="E164" s="6">
        <v>1.0</v>
      </c>
      <c r="F164" s="6">
        <v>7.494</v>
      </c>
      <c r="K164" s="1">
        <v>1.006</v>
      </c>
      <c r="L164" s="6">
        <v>-7.83</v>
      </c>
      <c r="N164" s="4" t="str">
        <f t="shared" si="14"/>
        <v>1,006 &amp; -7,830 \\ </v>
      </c>
      <c r="O164" s="6">
        <v>1.0</v>
      </c>
      <c r="P164" s="6">
        <v>7.494</v>
      </c>
      <c r="Q164" s="4" t="str">
        <f t="shared" si="15"/>
        <v>1,000 &amp; 7,494 \\ </v>
      </c>
    </row>
    <row r="165">
      <c r="A165" s="6">
        <v>1.3</v>
      </c>
      <c r="B165" s="6">
        <v>-9.564</v>
      </c>
      <c r="E165" s="6">
        <v>1.3</v>
      </c>
      <c r="F165" s="1">
        <v>9.624</v>
      </c>
      <c r="K165" s="6">
        <v>1.3</v>
      </c>
      <c r="L165" s="6">
        <v>-9.564</v>
      </c>
      <c r="N165" s="4" t="str">
        <f t="shared" si="14"/>
        <v>1,300 &amp; -9,564 \\ </v>
      </c>
      <c r="O165" s="6">
        <v>1.3</v>
      </c>
      <c r="P165" s="1">
        <v>9.624</v>
      </c>
      <c r="Q165" s="4" t="str">
        <f t="shared" si="15"/>
        <v>1,300 &amp; 9,624 \\ </v>
      </c>
    </row>
    <row r="168">
      <c r="A168" s="1" t="s">
        <v>29</v>
      </c>
      <c r="E168" s="1" t="s">
        <v>29</v>
      </c>
      <c r="K168" s="1" t="s">
        <v>29</v>
      </c>
      <c r="O168" s="1" t="s">
        <v>29</v>
      </c>
    </row>
    <row r="169">
      <c r="A169" s="1">
        <v>2.001</v>
      </c>
      <c r="E169" s="1">
        <v>-2.003</v>
      </c>
      <c r="K169" s="1">
        <v>2.001</v>
      </c>
      <c r="O169" s="1">
        <v>-2.003</v>
      </c>
    </row>
    <row r="170">
      <c r="A170" s="1" t="s">
        <v>30</v>
      </c>
      <c r="B170" s="1" t="s">
        <v>23</v>
      </c>
      <c r="E170" s="1" t="s">
        <v>30</v>
      </c>
      <c r="F170" s="1" t="s">
        <v>23</v>
      </c>
      <c r="H170" s="13"/>
      <c r="K170" s="1" t="s">
        <v>30</v>
      </c>
      <c r="L170" s="1" t="s">
        <v>23</v>
      </c>
      <c r="O170" s="1" t="s">
        <v>30</v>
      </c>
      <c r="P170" s="1" t="s">
        <v>23</v>
      </c>
      <c r="R170" s="13"/>
    </row>
    <row r="171">
      <c r="A171" s="1">
        <v>-1.302</v>
      </c>
      <c r="B171" s="6">
        <v>3.885</v>
      </c>
      <c r="E171" s="1">
        <v>-1.304</v>
      </c>
      <c r="F171" s="6">
        <v>-3.823</v>
      </c>
      <c r="K171" s="1">
        <v>-1.302</v>
      </c>
      <c r="L171" s="6">
        <v>3.885</v>
      </c>
      <c r="N171" s="4" t="str">
        <f t="shared" ref="N171:N181" si="16">CONCATENATE(TEXT(K171, "0.000"), " &amp; ", TEXT(L171, "0.000"), " \\ ")</f>
        <v>-1,302 &amp; 3,885 \\ </v>
      </c>
      <c r="O171" s="1">
        <v>-1.304</v>
      </c>
      <c r="P171" s="6">
        <v>-3.823</v>
      </c>
      <c r="Q171" s="4" t="str">
        <f t="shared" ref="Q171:Q181" si="17">CONCATENATE(TEXT(O171, "0.000"), " &amp; ", TEXT(P171, "0.000"), " \\ ")</f>
        <v>-1,304 &amp; -3,823 \\ </v>
      </c>
    </row>
    <row r="172">
      <c r="A172" s="1">
        <v>-1.007</v>
      </c>
      <c r="B172" s="1">
        <v>3.173</v>
      </c>
      <c r="E172" s="1">
        <v>-1.006</v>
      </c>
      <c r="F172" s="1">
        <v>-2.971</v>
      </c>
      <c r="K172" s="1">
        <v>-1.007</v>
      </c>
      <c r="L172" s="1">
        <v>3.173</v>
      </c>
      <c r="N172" s="4" t="str">
        <f t="shared" si="16"/>
        <v>-1,007 &amp; 3,173 \\ </v>
      </c>
      <c r="O172" s="1">
        <v>-1.006</v>
      </c>
      <c r="P172" s="1">
        <v>-2.971</v>
      </c>
      <c r="Q172" s="4" t="str">
        <f t="shared" si="17"/>
        <v>-1,006 &amp; -2,971 \\ </v>
      </c>
    </row>
    <row r="173">
      <c r="A173" s="1">
        <v>-0.704</v>
      </c>
      <c r="B173" s="1">
        <v>2.322</v>
      </c>
      <c r="E173" s="1">
        <v>-0.701</v>
      </c>
      <c r="F173" s="1">
        <v>-2.056</v>
      </c>
      <c r="K173" s="1">
        <v>-0.704</v>
      </c>
      <c r="L173" s="1">
        <v>2.322</v>
      </c>
      <c r="N173" s="4" t="str">
        <f t="shared" si="16"/>
        <v>-0,704 &amp; 2,322 \\ </v>
      </c>
      <c r="O173" s="1">
        <v>-0.701</v>
      </c>
      <c r="P173" s="1">
        <v>-2.056</v>
      </c>
      <c r="Q173" s="4" t="str">
        <f t="shared" si="17"/>
        <v>-0,701 &amp; -2,056 \\ </v>
      </c>
    </row>
    <row r="174">
      <c r="A174" s="1">
        <v>-0.399</v>
      </c>
      <c r="B174" s="1">
        <v>1.381</v>
      </c>
      <c r="E174" s="1">
        <v>-0.409</v>
      </c>
      <c r="F174" s="1">
        <v>-1.171</v>
      </c>
      <c r="K174" s="1">
        <v>-0.399</v>
      </c>
      <c r="L174" s="1">
        <v>1.381</v>
      </c>
      <c r="N174" s="4" t="str">
        <f t="shared" si="16"/>
        <v>-0,399 &amp; 1,381 \\ </v>
      </c>
      <c r="O174" s="1">
        <v>-0.409</v>
      </c>
      <c r="P174" s="1">
        <v>-1.171</v>
      </c>
      <c r="Q174" s="4" t="str">
        <f t="shared" si="17"/>
        <v>-0,409 &amp; -1,171 \\ </v>
      </c>
    </row>
    <row r="175">
      <c r="A175" s="1">
        <v>-0.204</v>
      </c>
      <c r="B175" s="1">
        <v>0.774</v>
      </c>
      <c r="E175" s="1">
        <v>-0.205</v>
      </c>
      <c r="F175" s="1">
        <v>-0.522</v>
      </c>
      <c r="K175" s="1">
        <v>-0.204</v>
      </c>
      <c r="L175" s="1">
        <v>0.774</v>
      </c>
      <c r="N175" s="4" t="str">
        <f t="shared" si="16"/>
        <v>-0,204 &amp; 0,774 \\ </v>
      </c>
      <c r="O175" s="1">
        <v>-0.205</v>
      </c>
      <c r="P175" s="1">
        <v>-0.522</v>
      </c>
      <c r="Q175" s="4" t="str">
        <f t="shared" si="17"/>
        <v>-0,205 &amp; -0,522 \\ </v>
      </c>
    </row>
    <row r="176">
      <c r="A176" s="1">
        <v>0.0</v>
      </c>
      <c r="B176" s="6">
        <v>0.13</v>
      </c>
      <c r="E176" s="1">
        <v>0.0</v>
      </c>
      <c r="F176" s="1">
        <v>0.127</v>
      </c>
      <c r="K176" s="1">
        <v>0.0</v>
      </c>
      <c r="L176" s="6">
        <v>0.13</v>
      </c>
      <c r="N176" s="4" t="str">
        <f t="shared" si="16"/>
        <v>0,000 &amp; 0,130 \\ </v>
      </c>
      <c r="O176" s="1">
        <v>0.0</v>
      </c>
      <c r="P176" s="1">
        <v>0.127</v>
      </c>
      <c r="Q176" s="4" t="str">
        <f t="shared" si="17"/>
        <v>0,000 &amp; 0,127 \\ </v>
      </c>
    </row>
    <row r="177">
      <c r="A177" s="1">
        <v>0.206</v>
      </c>
      <c r="B177" s="1">
        <v>-0.568</v>
      </c>
      <c r="E177" s="1">
        <v>0.209</v>
      </c>
      <c r="F177" s="1">
        <v>0.793</v>
      </c>
      <c r="K177" s="1">
        <v>0.206</v>
      </c>
      <c r="L177" s="1">
        <v>-0.568</v>
      </c>
      <c r="N177" s="4" t="str">
        <f t="shared" si="16"/>
        <v>0,206 &amp; -0,568 \\ </v>
      </c>
      <c r="O177" s="1">
        <v>0.209</v>
      </c>
      <c r="P177" s="1">
        <v>0.793</v>
      </c>
      <c r="Q177" s="4" t="str">
        <f t="shared" si="17"/>
        <v>0,209 &amp; 0,793 \\ </v>
      </c>
    </row>
    <row r="178">
      <c r="A178" s="6">
        <v>0.4</v>
      </c>
      <c r="B178" s="1">
        <v>-1.126</v>
      </c>
      <c r="E178" s="1">
        <v>0.406</v>
      </c>
      <c r="F178" s="6">
        <v>1.41</v>
      </c>
      <c r="K178" s="6">
        <v>0.4</v>
      </c>
      <c r="L178" s="1">
        <v>-1.126</v>
      </c>
      <c r="N178" s="4" t="str">
        <f t="shared" si="16"/>
        <v>0,400 &amp; -1,126 \\ </v>
      </c>
      <c r="O178" s="1">
        <v>0.406</v>
      </c>
      <c r="P178" s="6">
        <v>1.41</v>
      </c>
      <c r="Q178" s="4" t="str">
        <f t="shared" si="17"/>
        <v>0,406 &amp; 1,410 \\ </v>
      </c>
    </row>
    <row r="179">
      <c r="A179" s="6">
        <v>0.704</v>
      </c>
      <c r="B179" s="1">
        <v>-2.071</v>
      </c>
      <c r="E179" s="6">
        <v>0.7</v>
      </c>
      <c r="F179" s="1">
        <v>2.297</v>
      </c>
      <c r="K179" s="6">
        <v>0.704</v>
      </c>
      <c r="L179" s="1">
        <v>-2.071</v>
      </c>
      <c r="N179" s="4" t="str">
        <f t="shared" si="16"/>
        <v>0,704 &amp; -2,071 \\ </v>
      </c>
      <c r="O179" s="6">
        <v>0.7</v>
      </c>
      <c r="P179" s="1">
        <v>2.297</v>
      </c>
      <c r="Q179" s="4" t="str">
        <f t="shared" si="17"/>
        <v>0,700 &amp; 2,297 \\ </v>
      </c>
    </row>
    <row r="180">
      <c r="A180" s="1">
        <v>0.996</v>
      </c>
      <c r="B180" s="1">
        <v>-2.946</v>
      </c>
      <c r="E180" s="1">
        <v>1.006</v>
      </c>
      <c r="F180" s="6">
        <v>3.171</v>
      </c>
      <c r="K180" s="1">
        <v>0.996</v>
      </c>
      <c r="L180" s="1">
        <v>-2.946</v>
      </c>
      <c r="N180" s="4" t="str">
        <f t="shared" si="16"/>
        <v>0,996 &amp; -2,946 \\ </v>
      </c>
      <c r="O180" s="1">
        <v>1.006</v>
      </c>
      <c r="P180" s="6">
        <v>3.171</v>
      </c>
      <c r="Q180" s="4" t="str">
        <f t="shared" si="17"/>
        <v>1,006 &amp; 3,171 \\ </v>
      </c>
    </row>
    <row r="181">
      <c r="A181" s="1">
        <v>1.302</v>
      </c>
      <c r="B181" s="6">
        <v>-3.824</v>
      </c>
      <c r="E181" s="1">
        <v>1.301</v>
      </c>
      <c r="F181" s="1">
        <v>3.887</v>
      </c>
      <c r="K181" s="1">
        <v>1.302</v>
      </c>
      <c r="L181" s="6">
        <v>-3.824</v>
      </c>
      <c r="N181" s="4" t="str">
        <f t="shared" si="16"/>
        <v>1,302 &amp; -3,824 \\ </v>
      </c>
      <c r="O181" s="1">
        <v>1.301</v>
      </c>
      <c r="P181" s="1">
        <v>3.887</v>
      </c>
      <c r="Q181" s="4" t="str">
        <f t="shared" si="17"/>
        <v>1,301 &amp; 3,887 \\ 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F1" s="1" t="s">
        <v>0</v>
      </c>
      <c r="G1" s="1" t="s">
        <v>3</v>
      </c>
    </row>
    <row r="2">
      <c r="A2" s="1">
        <v>8.003</v>
      </c>
      <c r="B2" s="1">
        <v>0.32602</v>
      </c>
      <c r="F2" s="1">
        <v>8.003</v>
      </c>
      <c r="G2" s="1">
        <v>0.32602</v>
      </c>
      <c r="I2" s="4" t="str">
        <f t="shared" ref="I2:I7" si="1">CONCATENATE(TEXT(F2, "0.000"), " &amp; ", TEXT(G2, "0.00000"), " \\ ")</f>
        <v>8,003 &amp; 0,32602 \\ </v>
      </c>
    </row>
    <row r="3">
      <c r="A3" s="1">
        <v>7.006</v>
      </c>
      <c r="B3" s="1">
        <v>0.28544</v>
      </c>
      <c r="F3" s="1">
        <v>7.006</v>
      </c>
      <c r="G3" s="1">
        <v>0.28544</v>
      </c>
      <c r="I3" s="4" t="str">
        <f t="shared" si="1"/>
        <v>7,006 &amp; 0,28544 \\ </v>
      </c>
    </row>
    <row r="4">
      <c r="A4" s="1">
        <v>6.008</v>
      </c>
      <c r="B4" s="1">
        <v>0.24487</v>
      </c>
      <c r="F4" s="1">
        <v>6.008</v>
      </c>
      <c r="G4" s="1">
        <v>0.24487</v>
      </c>
      <c r="I4" s="4" t="str">
        <f t="shared" si="1"/>
        <v>6,008 &amp; 0,24487 \\ </v>
      </c>
    </row>
    <row r="5">
      <c r="A5" s="1">
        <v>5.009</v>
      </c>
      <c r="B5" s="1">
        <v>0.20418</v>
      </c>
      <c r="F5" s="1">
        <v>5.009</v>
      </c>
      <c r="G5" s="1">
        <v>0.20418</v>
      </c>
      <c r="I5" s="4" t="str">
        <f t="shared" si="1"/>
        <v>5,009 &amp; 0,20418 \\ </v>
      </c>
    </row>
    <row r="6">
      <c r="A6" s="1">
        <v>4.004</v>
      </c>
      <c r="B6" s="8">
        <v>0.1633</v>
      </c>
      <c r="F6" s="1">
        <v>4.004</v>
      </c>
      <c r="G6" s="8">
        <v>0.1633</v>
      </c>
      <c r="I6" s="4" t="str">
        <f t="shared" si="1"/>
        <v>4,004 &amp; 0,16330 \\ </v>
      </c>
    </row>
    <row r="7">
      <c r="A7" s="1">
        <v>3.004</v>
      </c>
      <c r="B7" s="1">
        <v>0.12261</v>
      </c>
      <c r="F7" s="1">
        <v>3.004</v>
      </c>
      <c r="G7" s="1">
        <v>0.12261</v>
      </c>
      <c r="I7" s="4" t="str">
        <f t="shared" si="1"/>
        <v>3,004 &amp; 0,12261 \\ </v>
      </c>
    </row>
    <row r="8">
      <c r="A8" s="1">
        <v>2.002</v>
      </c>
      <c r="B8" s="1">
        <v>0.081917</v>
      </c>
      <c r="C8" s="1" t="s">
        <v>12</v>
      </c>
      <c r="F8" s="1">
        <v>2.002</v>
      </c>
      <c r="G8" s="1">
        <v>0.081917</v>
      </c>
      <c r="I8" s="4" t="str">
        <f t="shared" ref="I8:I12" si="2">CONCATENATE(TEXT(F8, "0.000"), " &amp; ", TEXT(G8, "0.000000"), " \\ ")</f>
        <v>2,002 &amp; 0,081917 \\ </v>
      </c>
    </row>
    <row r="9">
      <c r="A9" s="1">
        <v>1.008</v>
      </c>
      <c r="B9" s="1">
        <v>0.041328</v>
      </c>
      <c r="F9" s="1">
        <v>1.008</v>
      </c>
      <c r="G9" s="1">
        <v>0.041328</v>
      </c>
      <c r="I9" s="4" t="str">
        <f t="shared" si="2"/>
        <v>1,008 &amp; 0,041328 \\ </v>
      </c>
    </row>
    <row r="10">
      <c r="A10" s="1">
        <v>0.0</v>
      </c>
      <c r="B10" s="1">
        <v>1.0E-6</v>
      </c>
      <c r="F10" s="1">
        <v>0.0</v>
      </c>
      <c r="G10" s="1">
        <v>1.0E-6</v>
      </c>
      <c r="I10" s="4" t="str">
        <f t="shared" si="2"/>
        <v>0,000 &amp; 0,000001 \\ </v>
      </c>
    </row>
    <row r="11">
      <c r="A11" s="6">
        <v>-1.0</v>
      </c>
      <c r="B11" s="1">
        <v>-0.040703</v>
      </c>
      <c r="F11" s="6">
        <v>-1.0</v>
      </c>
      <c r="G11" s="1">
        <v>-0.040703</v>
      </c>
      <c r="I11" s="4" t="str">
        <f t="shared" si="2"/>
        <v>-1,000 &amp; -0,040703 \\ </v>
      </c>
    </row>
    <row r="12">
      <c r="A12" s="6">
        <v>-2.0</v>
      </c>
      <c r="B12" s="1">
        <v>-0.081365</v>
      </c>
      <c r="F12" s="6">
        <v>-2.0</v>
      </c>
      <c r="G12" s="1">
        <v>-0.081365</v>
      </c>
      <c r="I12" s="4" t="str">
        <f t="shared" si="2"/>
        <v>-2,000 &amp; -0,081365 \\ </v>
      </c>
    </row>
    <row r="13">
      <c r="A13" s="1">
        <v>-3.009</v>
      </c>
      <c r="B13" s="1">
        <v>-0.12233</v>
      </c>
      <c r="F13" s="1">
        <v>-3.009</v>
      </c>
      <c r="G13" s="1">
        <v>-0.12233</v>
      </c>
      <c r="I13" s="4" t="str">
        <f t="shared" ref="I13:I18" si="3">CONCATENATE(TEXT(F13, "0.000"), " &amp; ", TEXT(G13, "0.00000"), " \\ ")</f>
        <v>-3,009 &amp; -0,12233 \\ </v>
      </c>
    </row>
    <row r="14">
      <c r="A14" s="1">
        <v>-4.002</v>
      </c>
      <c r="B14" s="1">
        <v>-0.16275</v>
      </c>
      <c r="F14" s="1">
        <v>-4.002</v>
      </c>
      <c r="G14" s="1">
        <v>-0.16275</v>
      </c>
      <c r="I14" s="4" t="str">
        <f t="shared" si="3"/>
        <v>-4,002 &amp; -0,16275 \\ </v>
      </c>
    </row>
    <row r="15">
      <c r="A15" s="1">
        <v>-5.003</v>
      </c>
      <c r="B15" s="1">
        <v>-0.20348</v>
      </c>
      <c r="F15" s="1">
        <v>-5.003</v>
      </c>
      <c r="G15" s="1">
        <v>-0.20348</v>
      </c>
      <c r="I15" s="4" t="str">
        <f t="shared" si="3"/>
        <v>-5,003 &amp; -0,20348 \\ </v>
      </c>
    </row>
    <row r="16">
      <c r="A16" s="6">
        <v>-6.0</v>
      </c>
      <c r="B16" s="1">
        <v>-0.24407</v>
      </c>
      <c r="F16" s="6">
        <v>-6.0</v>
      </c>
      <c r="G16" s="1">
        <v>-0.24407</v>
      </c>
      <c r="I16" s="4" t="str">
        <f t="shared" si="3"/>
        <v>-6,000 &amp; -0,24407 \\ </v>
      </c>
    </row>
    <row r="17">
      <c r="A17" s="1">
        <v>-7.007</v>
      </c>
      <c r="B17" s="8">
        <v>-0.285</v>
      </c>
      <c r="F17" s="1">
        <v>-7.007</v>
      </c>
      <c r="G17" s="8">
        <v>-0.285</v>
      </c>
      <c r="I17" s="4" t="str">
        <f t="shared" si="3"/>
        <v>-7,007 &amp; -0,28500 \\ </v>
      </c>
    </row>
    <row r="18">
      <c r="A18" s="1">
        <v>-8.006</v>
      </c>
      <c r="B18" s="8">
        <v>-0.3257</v>
      </c>
      <c r="F18" s="1">
        <v>-8.006</v>
      </c>
      <c r="G18" s="8">
        <v>-0.3257</v>
      </c>
      <c r="I18" s="4" t="str">
        <f t="shared" si="3"/>
        <v>-8,006 &amp; -0,32570 \\ </v>
      </c>
    </row>
  </sheetData>
  <drawing r:id="rId1"/>
</worksheet>
</file>